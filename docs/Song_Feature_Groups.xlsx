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ature groups" sheetId="1" state="visible" r:id="rId3"/>
    <sheet name="Modules" sheetId="2" state="visible" r:id="rId4"/>
    <sheet name="Spotify 13 features" sheetId="3" state="visible" r:id="rId5"/>
    <sheet name="Notes" sheetId="4" state="visible" r:id="rId6"/>
  </sheets>
  <definedNames>
    <definedName function="false" hidden="false" localSheetId="0" name="_xlnm.Print_Titles" vbProcedure="false">'Feature groups'!$1:$1</definedName>
    <definedName function="false" hidden="true" localSheetId="0" name="_xlnm._FilterDatabase" vbProcedure="false">'Feature groups'!$A$1:$H$63</definedName>
    <definedName function="false" hidden="false" localSheetId="1" name="_xlnm.Print_Titles" vbProcedure="false">Modules!$1:$1</definedName>
    <definedName function="false" hidden="false" localSheetId="3" name="_xlnm.Print_Titles" vbProcedure="false">Notes!$1:$1</definedName>
    <definedName function="false" hidden="false" localSheetId="2" name="_xlnm.Print_Titles" vbProcedure="false">'Spotify 13 features'!$1:$1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<sst xmlns="http://schemas.openxmlformats.org/spreadsheetml/2006/main" count="500" uniqueCount="309">
  <si>
    <t xml:space="preserve">Module</t>
  </si>
  <si>
    <t xml:space="preserve">Feature group</t>
  </si>
  <si>
    <t xml:space="preserve">No. of features</t>
  </si>
  <si>
    <t xml:space="preserve">Explanation of the group</t>
  </si>
  <si>
    <t xml:space="preserve">Provided by Spotify?</t>
  </si>
  <si>
    <t xml:space="preserve">Spotify note</t>
  </si>
  <si>
    <t xml:space="preserve">Example columns</t>
  </si>
  <si>
    <t xml:space="preserve">Module code (GitHub)</t>
  </si>
  <si>
    <t xml:space="preserve">Loudness &amp; dynamics (loudness)</t>
  </si>
  <si>
    <t xml:space="preserve">Overall loudness level</t>
  </si>
  <si>
    <t xml:space="preserve">How loud the song is as a listener hears it: integrated loudness by the broadcast standard ITU-R BS.1770 (LUFS), plain RMS level, and the loudest 3-second and 0.4-second moments.</t>
  </si>
  <si>
    <t xml:space="preserve">Partly</t>
  </si>
  <si>
    <t xml:space="preserve">Spotify gives one overall loudness value (dB); the peak-moment measures are new.</t>
  </si>
  <si>
    <t xml:space="preserve">loudness_integrated_lufs, loudness_shortterm_max_lufs, loudness_momentary_max_lufs, ...</t>
  </si>
  <si>
    <t xml:space="preserve">songfeatures/features/loudness.py</t>
  </si>
  <si>
    <t xml:space="preserve">Loudness dynamics over the song</t>
  </si>
  <si>
    <t xml:space="preserve">How much the loudness changes between quiet and loud passages (EBU Tech 3342 Loudness Range and SD of 3-s loudness). Low = flat level; high = quiet verses and big build-ups.</t>
  </si>
  <si>
    <t xml:space="preserve">No</t>
  </si>
  <si>
    <t xml:space="preserve">loudness_range_lu, loudness_shortterm_sd_lu</t>
  </si>
  <si>
    <t xml:space="preserve">Peaks &amp; compression (loudness war)</t>
  </si>
  <si>
    <t xml:space="preserve">How the mastering treats peaks: sample and true peak, crest factor and peak-to-loudness ratio (low = heavily compressed/limited master) and the share of clipped samples.</t>
  </si>
  <si>
    <t xml:space="preserve">true_peak_dbtp, sample_peak_dbfs, crest_factor_db, ...</t>
  </si>
  <si>
    <t xml:space="preserve">Stereo image</t>
  </si>
  <si>
    <t xml:space="preserve">How wide the mix is: share of side (left-right difference) energy, left-right correlation, and a mono-file flag.</t>
  </si>
  <si>
    <t xml:space="preserve">stereo_width, stereo_correlation, is_mono_file</t>
  </si>
  <si>
    <t xml:space="preserve">Duration</t>
  </si>
  <si>
    <t xml:space="preserve">Song length in seconds.</t>
  </si>
  <si>
    <t xml:space="preserve">Yes</t>
  </si>
  <si>
    <t xml:space="preserve">Spotify duration_ms.</t>
  </si>
  <si>
    <t xml:space="preserve">duration_s</t>
  </si>
  <si>
    <t xml:space="preserve">Timbre &amp; spectrum (timbre)</t>
  </si>
  <si>
    <t xml:space="preserve">Spectral shape (brightness, noisiness)</t>
  </si>
  <si>
    <t xml:space="preserve">Summary of the sound's spectrum: brightness (centroid, roll-off), spread, noisiness (flatness, zero-crossing rate), change over time (flux), peak-valley contrast and the overall spectral tilt.</t>
  </si>
  <si>
    <t xml:space="preserve">spectral_centroid_mean_hz, spectral_centroid_sd_hz, spectral_bandwidth_mean_hz, ...</t>
  </si>
  <si>
    <t xml:space="preserve">songfeatures/features/timbre.py</t>
  </si>
  <si>
    <t xml:space="preserve">Frequency balance (7 bands)</t>
  </si>
  <si>
    <t xml:space="preserve">Share of the song's energy in seven bands from sub-bass (20-60 Hz) to brilliance (6-20 kHz); e.g. bass-heavy vs bright mixes.</t>
  </si>
  <si>
    <t xml:space="preserve">band_share_sub_bass, band_share_bass, band_share_low_mid, ...</t>
  </si>
  <si>
    <t xml:space="preserve">MFCC timbre profile</t>
  </si>
  <si>
    <t xml:space="preserve">Mean and variability of 13 mel-frequency cepstral coefficients, the standard compact description of timbre (the 'colour' of the sound) used in music and speech research.</t>
  </si>
  <si>
    <t xml:space="preserve">Spotify's Audio Analysis endpoint gave a similar 12-number 'timbre' vector per segment (closed to new apps since Nov 2024).</t>
  </si>
  <si>
    <t xml:space="preserve">mfcc01_mean, mfcc01_sd, mfcc02_mean, ...</t>
  </si>
  <si>
    <t xml:space="preserve">Timbral variability</t>
  </si>
  <si>
    <t xml:space="preserve">How much the timbre changes from beat to beat (mean MFCC distance between consecutive beats).</t>
  </si>
  <si>
    <t xml:space="preserve">timbre_change_rate</t>
  </si>
  <si>
    <t xml:space="preserve">Rhythm &amp; groove (rhythm)</t>
  </si>
  <si>
    <t xml:space="preserve">Tempo &amp; tempo stability</t>
  </si>
  <si>
    <t xml:space="preserve">Tempo in BPM plus how steady it is: local tempo variation, drift over the song and regularity of beat intervals (human vs click-track timing).</t>
  </si>
  <si>
    <t xml:space="preserve">Spotify gives tempo only.</t>
  </si>
  <si>
    <t xml:space="preserve">tempo_bpm, tempo_local_cv, tempo_drift_bpm_per_min, ...</t>
  </si>
  <si>
    <t xml:space="preserve">songfeatures/features/rhythm.py</t>
  </si>
  <si>
    <t xml:space="preserve">Beat &amp; pulse strength</t>
  </si>
  <si>
    <t xml:space="preserve">How clear and strong the beat is (onset autocorrelation peak; accent on beats vs elsewhere).</t>
  </si>
  <si>
    <t xml:space="preserve">pulse_clarity, beat_strength</t>
  </si>
  <si>
    <t xml:space="preserve">Note/drum event density</t>
  </si>
  <si>
    <t xml:space="preserve">How many note or drum onsets occur per second and how irregular the spacing between them is.</t>
  </si>
  <si>
    <t xml:space="preserve">onset_rate_per_s, ioi_entropy_bits</t>
  </si>
  <si>
    <t xml:space="preserve">Meter (time signature)</t>
  </si>
  <si>
    <t xml:space="preserve">Beats per bar from neural downbeat tracking (Beat This!) with a confidence score, and a second periodicity-based 3/4-vs-4/4 estimate with its margin.</t>
  </si>
  <si>
    <t xml:space="preserve">Spotify time_signature (3-7).</t>
  </si>
  <si>
    <t xml:space="preserve">beats_per_bar, beats_per_bar_confidence, time_signature_est, ...</t>
  </si>
  <si>
    <t xml:space="preserve">Syncopation, percussiveness &amp; groove</t>
  </si>
  <si>
    <t xml:space="preserve">Share of onsets on off-beats and 16th notes (syncopation), percussive vs harmonic energy, and a signal-based danceability (detrended fluctuation analysis).</t>
  </si>
  <si>
    <t xml:space="preserve">Spotify danceability is one model score; these are interpretable signal measures.</t>
  </si>
  <si>
    <t xml:space="preserve">offbeat_onset_ratio, sixteenth_onset_ratio, percussive_energy_ratio, ...</t>
  </si>
  <si>
    <t xml:space="preserve">Method information</t>
  </si>
  <si>
    <t xml:space="preserve">Which beat tracker was used and any error message from the optional meter model (for quality control, not analysis).</t>
  </si>
  <si>
    <t xml:space="preserve">beat_tracker, meter_backend_error</t>
  </si>
  <si>
    <t xml:space="preserve">Harmony &amp; tonality (harmony)</t>
  </si>
  <si>
    <t xml:space="preserve">Key &amp; mode</t>
  </si>
  <si>
    <t xml:space="preserve">Estimated key and major/minor mode, how clearly the music fits that key, how ambiguous it is, and a continuous major-minor score.</t>
  </si>
  <si>
    <t xml:space="preserve">Spotify gives key and mode (confidence only in the closed Audio Analysis endpoint).</t>
  </si>
  <si>
    <t xml:space="preserve">key_tonic, key_mode, key_label, ...</t>
  </si>
  <si>
    <t xml:space="preserve">songfeatures/features/harmony.py</t>
  </si>
  <si>
    <t xml:space="preserve">Modulation &amp; tuning</t>
  </si>
  <si>
    <t xml:space="preserve">Whether the song stays in one key, how many key changes it has, the classic late 'truck-driver' key change up, and tuning relative to A=440 Hz.</t>
  </si>
  <si>
    <t xml:space="preserve">key_stability, n_key_changes, late_upward_modulation, ...</t>
  </si>
  <si>
    <t xml:space="preserve">Chords &amp; harmonic rhythm</t>
  </si>
  <si>
    <t xml:space="preserve">Chord sequence summary: chord changes per minute, chord length, vocabulary size and diversity, reliance on one chord, share of minor chords and of fifth-based root motion.</t>
  </si>
  <si>
    <t xml:space="preserve">chord_change_rate_per_min, chord_mean_duration_beats, n_unique_chords, ...</t>
  </si>
  <si>
    <t xml:space="preserve">Harmonic colour &amp; dissonance</t>
  </si>
  <si>
    <t xml:space="preserve">How well the harmony fits plain triads (vs extended or ambiguous chords), how fast the tonal centre moves, and sensory roughness (dissonance).</t>
  </si>
  <si>
    <t xml:space="preserve">harmonic_triadicity, harmonic_change_rate, roughness_mean, ...</t>
  </si>
  <si>
    <t xml:space="preserve">Which chroma, tuning and key algorithms were used (quality control).</t>
  </si>
  <si>
    <t xml:space="preserve">chroma_method, tuning_method, key_method</t>
  </si>
  <si>
    <t xml:space="preserve">Song structure &amp; form (structure)</t>
  </si>
  <si>
    <t xml:space="preserve">Sections &amp; repetition</t>
  </si>
  <si>
    <t xml:space="preserve">Automatic segmentation of the song into sections: how many sections and section types, their lengths, structural complexity and how repetitive the song is.</t>
  </si>
  <si>
    <t xml:space="preserve">Spotify's closed Audio Analysis endpoint listed section boundaries, not these summaries.</t>
  </si>
  <si>
    <t xml:space="preserve">n_sections, n_section_types, section_mean_duration_s, ...</t>
  </si>
  <si>
    <t xml:space="preserve">songfeatures/features/structure.py</t>
  </si>
  <si>
    <t xml:space="preserve">Intro &amp; chorus (hook)</t>
  </si>
  <si>
    <t xml:space="preserve">Length of the intro, whether the song opens with the chorus, how soon the first chorus arrives, how much of the song is chorus, how often it repeats and how much louder it is.</t>
  </si>
  <si>
    <t xml:space="preserve">intro_duration_s, starts_with_chorus, time_to_first_chorus_s, ...</t>
  </si>
  <si>
    <t xml:space="preserve">Energy arc, drops &amp; build-ups</t>
  </si>
  <si>
    <t xml:space="preserve">The shape of loudness over time: rising or falling trend, where the climax sits, rise-then-fall arc, sudden 'drops' and gradual build-ups (common in EDM and pop).</t>
  </si>
  <si>
    <t xml:space="preserve">energy_slope_lu_per_min, energy_peak_position, energy_arc_curvature, ...</t>
  </si>
  <si>
    <t xml:space="preserve">Start &amp; ending</t>
  </si>
  <si>
    <t xml:space="preserve">Silence at the start and end, and how the song ends: fade-out, natural decay or cold cut, with fade length.</t>
  </si>
  <si>
    <t xml:space="preserve">Spotify's closed Audio Analysis endpoint gave fade-in end and fade-out start times.</t>
  </si>
  <si>
    <t xml:space="preserve">leading_silence_s, trailing_silence_s, ending_slope_lu_per_s, ...</t>
  </si>
  <si>
    <t xml:space="preserve">Method &amp; reliability flag</t>
  </si>
  <si>
    <t xml:space="preserve">Segmentation method used and a flag that is 0 when segmentation failed (section features are then empty).</t>
  </si>
  <si>
    <t xml:space="preserve">structure_backend, structure_reliable</t>
  </si>
  <si>
    <t xml:space="preserve">Vocals &amp; melody (source separation) (vocals)</t>
  </si>
  <si>
    <t xml:space="preserve">Instrument balance (stems)</t>
  </si>
  <si>
    <t xml:space="preserve">After separating the song into vocals, drums, bass and other instruments (Demucs), the share of energy in each stem.</t>
  </si>
  <si>
    <t xml:space="preserve">stem_share_vocals, stem_share_drums, stem_share_bass, ...</t>
  </si>
  <si>
    <t xml:space="preserve">songfeatures/features/vocals.py</t>
  </si>
  <si>
    <t xml:space="preserve">Vocal presence &amp; timing</t>
  </si>
  <si>
    <t xml:space="preserve">How much of the song has vocals, whether it is instrumental, when the voice first enters, and the number and length of vocal phrases.</t>
  </si>
  <si>
    <t xml:space="preserve">Spotify instrumentalness is one score; open_instrumentalness is built from these.</t>
  </si>
  <si>
    <t xml:space="preserve">vocal_presence_ratio, is_instrumental, time_to_first_vocal_s, ...</t>
  </si>
  <si>
    <t xml:space="preserve">Sung vs spoken (rap) vocals</t>
  </si>
  <si>
    <t xml:space="preserve">How much of the vocal is sustained, pitched singing versus speech-like delivery (spoken word, rap).</t>
  </si>
  <si>
    <t xml:space="preserve">Spotify speechiness; open_speechiness is built from these.</t>
  </si>
  <si>
    <t xml:space="preserve">vocal_sung_share, speech_like_seconds, speech_like_vocal_share</t>
  </si>
  <si>
    <t xml:space="preserve">Vocal pitch &amp; range</t>
  </si>
  <si>
    <t xml:space="preserve">Typical pitch of the lead voice (Hz and musical note number), its range and spread in semitones.</t>
  </si>
  <si>
    <t xml:space="preserve">vocal_f0_median_hz, vocal_f0_median_midi, vocal_pitch_range_semitones, ...</t>
  </si>
  <si>
    <t xml:space="preserve">Intonation, pitch correction &amp; vibrato</t>
  </si>
  <si>
    <t xml:space="preserve">How exactly the singer hits the notes (very low values suggest Auto-Tune-style correction), how flat held notes are, and how often and how strongly vibrato is used.</t>
  </si>
  <si>
    <t xml:space="preserve">pitch_grid_dev_cents, note_intonation_dev_cents, within_note_pitch_sd_cents, ...</t>
  </si>
  <si>
    <t xml:space="preserve">Melody shape</t>
  </si>
  <si>
    <t xml:space="preserve">The vocal melody as notes: number and rate of notes, average interval size, and shares of stepwise motion, repeated notes and leaps.</t>
  </si>
  <si>
    <t xml:space="preserve">n_vocal_notes, note_rate_per_vocal_s, melodic_interval_mean_abs, ...</t>
  </si>
  <si>
    <t xml:space="preserve">Which separation model and second voice detector were used (quality control).</t>
  </si>
  <si>
    <t xml:space="preserve">separation_source, voice_gate</t>
  </si>
  <si>
    <t xml:space="preserve">Voice quality (openSMILE eGeMAPS) (voice_quality)</t>
  </si>
  <si>
    <t xml:space="preserve">Pitch &amp; pitch movement</t>
  </si>
  <si>
    <t xml:space="preserve">Pitch level, variability, percentiles and rising/falling slopes of the isolated lead vocal (eGeMAPS frequency parameters).</t>
  </si>
  <si>
    <t xml:space="preserve">egemaps_f0semitonefrom27_5hz_sma3nz_amean, egemaps_f0semitonefrom27_5hz_sma3nz_stddevnorm, egemaps_f0semitonefrom27_5hz_sma3nz_percentile20_0, ...</t>
  </si>
  <si>
    <t xml:space="preserve">songfeatures/features/voice_quality.py</t>
  </si>
  <si>
    <t xml:space="preserve">Loudness &amp; intensity of the voice</t>
  </si>
  <si>
    <t xml:space="preserve">How loud and dynamic the voice itself is, its loudness peaks per second and overall sound level.</t>
  </si>
  <si>
    <t xml:space="preserve">egemaps_loudness_sma3_amean, egemaps_loudness_sma3_stddevnorm, egemaps_loudness_sma3_percentile20_0, ...</t>
  </si>
  <si>
    <t xml:space="preserve">Voice quality (jitter, shimmer, breathiness)</t>
  </si>
  <si>
    <t xml:space="preserve">Cycle-to-cycle pitch and amplitude irregularity (rough or creaky voice), harmonics-to-noise ratio (clear vs breathy voice) and harmonic differences linked to voice tension.</t>
  </si>
  <si>
    <t xml:space="preserve">egemaps_jitterlocal_sma3nz_amean, egemaps_jitterlocal_sma3nz_stddevnorm, egemaps_shimmerlocaldb_sma3nz_amean, ...</t>
  </si>
  <si>
    <t xml:space="preserve">Formants (vocal-tract resonances)</t>
  </si>
  <si>
    <t xml:space="preserve">Frequencies, bandwidths and strengths of the first three formants, which relate to vowel quality and the singer's vocal tract.</t>
  </si>
  <si>
    <t xml:space="preserve">egemaps_f1frequency_sma3nz_amean, egemaps_f1frequency_sma3nz_stddevnorm, egemaps_f1bandwidth_sma3nz_amean, ...</t>
  </si>
  <si>
    <t xml:space="preserve">Spectral balance of the voice</t>
  </si>
  <si>
    <t xml:space="preserve">Energy balance and tilt of the voice spectrum (alpha ratio, Hammarberg index, spectral slopes, flux and 4 MFCCs) for voiced and unvoiced sounds; relates to brightness, effort and timbre.</t>
  </si>
  <si>
    <t xml:space="preserve">egemaps_spectralflux_sma3_amean, egemaps_spectralflux_sma3_stddevnorm, egemaps_mfcc1_sma3_amean, ...</t>
  </si>
  <si>
    <t xml:space="preserve">Voiced/unvoiced timing</t>
  </si>
  <si>
    <t xml:space="preserve">Rate and length of voiced and unvoiced stretches (articulation and phrasing tempo).</t>
  </si>
  <si>
    <t xml:space="preserve">egemaps_voicedsegmentspersec, egemaps_meanvoicedsegmentlengthsec, egemaps_stddevvoicedsegmentlengthsec, ...</t>
  </si>
  <si>
    <t xml:space="preserve">Amount of audio analysed</t>
  </si>
  <si>
    <t xml:space="preserve">Seconds of vocal-active audio the measures are based on (reliability check).</t>
  </si>
  <si>
    <t xml:space="preserve">voice_quality_seconds</t>
  </si>
  <si>
    <t xml:space="preserve">Lyrics (Whisper transcription) (lyrics)</t>
  </si>
  <si>
    <t xml:space="preserve">Transcription &amp; language</t>
  </si>
  <si>
    <t xml:space="preserve">Whether lyrics came from a provided file or automatic transcription (Whisper), the detected language and its probability, and a decoding setting.</t>
  </si>
  <si>
    <t xml:space="preserve">lyrics_source, lyrics_language, lyrics_language_prob, ...</t>
  </si>
  <si>
    <t xml:space="preserve">songfeatures/features/lyrics.py</t>
  </si>
  <si>
    <t xml:space="preserve">Amount &amp; vocabulary</t>
  </si>
  <si>
    <t xml:space="preserve">Number of words and distinct words, lexical diversity (moving-average type-token ratio) and word length.</t>
  </si>
  <si>
    <t xml:space="preserve">lyrics_n_words, lyrics_n_unique_words, lyrics_mattr50, ...</t>
  </si>
  <si>
    <t xml:space="preserve">Lyrical repetitiveness</t>
  </si>
  <si>
    <t xml:space="preserve">How repetitive the lyrics are: compressibility of the text and share of repeated lines.</t>
  </si>
  <si>
    <t xml:space="preserve">lyrics_compression_ratio, lyrics_line_repetition_share</t>
  </si>
  <si>
    <t xml:space="preserve">Delivery rate</t>
  </si>
  <si>
    <t xml:space="preserve">Words and syllables per second of singing (fast, dense delivery such as rap vs slow ballads).</t>
  </si>
  <si>
    <t xml:space="preserve">lyrics_words_per_vocal_s, lyrics_syllables_per_vocal_s</t>
  </si>
  <si>
    <t xml:space="preserve">Self vs listener focus</t>
  </si>
  <si>
    <t xml:space="preserve">Share of 'I/me/my' and 'you/your' words (English).</t>
  </si>
  <si>
    <t xml:space="preserve">lyrics_first_person_rate, lyrics_second_person_rate</t>
  </si>
  <si>
    <t xml:space="preserve">Lyric sentiment</t>
  </si>
  <si>
    <t xml:space="preserve">Emotional tone of the words (VADER): mean sentiment and shares of positive and negative lines (English).</t>
  </si>
  <si>
    <t xml:space="preserve">lyrics_sentiment_compound, lyrics_positive_line_share, lyrics_negative_line_share</t>
  </si>
  <si>
    <t xml:space="preserve">Pretrained music models (Essentia / MTG) (essentia_models)</t>
  </si>
  <si>
    <t xml:space="preserve">Genre &amp; style</t>
  </si>
  <si>
    <t xml:space="preserve">Most likely Discogs style (400 styles), top three styles, and the probability of each of 15 parent genres.</t>
  </si>
  <si>
    <t xml:space="preserve">Spotify gives genres only per artist, not per song.</t>
  </si>
  <si>
    <t xml:space="preserve">genre_top1, genre_top1_prob, genre_top3, ...</t>
  </si>
  <si>
    <t xml:space="preserve">songfeatures/features/essentia_models.py</t>
  </si>
  <si>
    <t xml:space="preserve">Mood classifiers</t>
  </si>
  <si>
    <t xml:space="preserve">Probability that the song is happy, sad, aggressive, relaxed, party, acoustic or electronic.</t>
  </si>
  <si>
    <t xml:space="preserve">Related to Spotify valence and acousticness.</t>
  </si>
  <si>
    <t xml:space="preserve">mood_happy, mood_sad, mood_aggressive, ...</t>
  </si>
  <si>
    <t xml:space="preserve">Danceability, voice &amp; tonality</t>
  </si>
  <si>
    <t xml:space="preserve">Model probabilities that the song is danceable, has a voice, and is tonal.</t>
  </si>
  <si>
    <t xml:space="preserve">Related to Spotify danceability and instrumentalness.</t>
  </si>
  <si>
    <t xml:space="preserve">danceability_model, voice_prob, tonal_prob</t>
  </si>
  <si>
    <t xml:space="preserve">Valence &amp; arousal over time</t>
  </si>
  <si>
    <t xml:space="preserve">Emotional positivity (valence) and intensity (arousal) predicted every ~1.5 s by two models trained on listener ratings (DEAM, emoMusic), summarised as mean, spread, range, trend and peak position.</t>
  </si>
  <si>
    <t xml:space="preserve">Spotify valence is a single score; arousal is close to Spotify energy.</t>
  </si>
  <si>
    <t xml:space="preserve">deam_valence_mean, deam_valence_sd, deam_valence_p10, ...</t>
  </si>
  <si>
    <t xml:space="preserve">Mood/theme tags</t>
  </si>
  <si>
    <t xml:space="preserve">Probability of 56 mood and theme tags from the MTG-Jamendo dataset (e.g. romantic, epic, uplifting, dark).</t>
  </si>
  <si>
    <t xml:space="preserve">moodtheme_action, moodtheme_adventure, moodtheme_advertising, ...</t>
  </si>
  <si>
    <t xml:space="preserve">Instrument tags</t>
  </si>
  <si>
    <t xml:space="preserve">Probability of 40 instruments being present (e.g. guitar, piano, synthesizer, violin).</t>
  </si>
  <si>
    <t xml:space="preserve">instrument_accordion, instrument_acousticbassguitar, instrument_acousticguitar, ...</t>
  </si>
  <si>
    <t xml:space="preserve">Approachability &amp; engagement</t>
  </si>
  <si>
    <t xml:space="preserve">Model-predicted mainstream vs niche appeal, and active vs background listening.</t>
  </si>
  <si>
    <t xml:space="preserve">approachability, engagement</t>
  </si>
  <si>
    <t xml:space="preserve">Models that were requested but missing (quality control).</t>
  </si>
  <si>
    <t xml:space="preserve">essentia_missing_heads</t>
  </si>
  <si>
    <t xml:space="preserve">Zero-shot text-audio concepts (CLAP) (clap)</t>
  </si>
  <si>
    <t xml:space="preserve">Reference concepts</t>
  </si>
  <si>
    <t xml:space="preserve">Six fixed concepts scored by comparing the audio with text prompts: live vs studio, crowd noise, spoken vs sung, happy vs sad, acoustic vs electronic, energetic vs calm (probability and continuous margin).</t>
  </si>
  <si>
    <t xml:space="preserve">Cross-checks for Spotify liveness, speechiness, valence, acousticness and energy; open_liveness uses the live score.</t>
  </si>
  <si>
    <t xml:space="preserve">clap_ref_live, clap_ref_live_margin, clap_ref_crowd_max, ...</t>
  </si>
  <si>
    <t xml:space="preserve">songfeatures/features/clap.py</t>
  </si>
  <si>
    <t xml:space="preserve">Custom concepts</t>
  </si>
  <si>
    <t xml:space="preserve">Ten researcher-defined concepts set in config.yaml (e.g. nostalgic, cinematic, romantic, dark, lo-fi, catchy); new concepts can be added with a text prompt, no training needed.</t>
  </si>
  <si>
    <t xml:space="preserve">clap_happy, clap_happy_margin, clap_energetic, ...</t>
  </si>
  <si>
    <t xml:space="preserve">Musical surprise (corpus) (surprise)</t>
  </si>
  <si>
    <t xml:space="preserve">Harmonic surprise</t>
  </si>
  <si>
    <t xml:space="preserve">How unexpected the chord progression is given all other songs in the corpus (information content from an n-gram model), plus uncertainty and number of chord events.</t>
  </si>
  <si>
    <t xml:space="preserve">chord_ic_mean, chord_ic_sd, chord_ic_p90, ...</t>
  </si>
  <si>
    <t xml:space="preserve">songfeatures/corpus/surprise.py</t>
  </si>
  <si>
    <t xml:space="preserve">Melodic surprise</t>
  </si>
  <si>
    <t xml:space="preserve">How unexpected the vocal melody is given the corpus, plus uncertainty and number of melodic events.</t>
  </si>
  <si>
    <t xml:space="preserve">melody_ic_mean, melody_ic_sd, melody_ic_p90, ...</t>
  </si>
  <si>
    <t xml:space="preserve">Typicality &amp; novelty (corpus) (novelty)</t>
  </si>
  <si>
    <t xml:space="preserve">Typicality vs corpus &amp; genre</t>
  </si>
  <si>
    <t xml:space="preserve">How similar a song sounds to all other songs, to its nearest neighbours and to songs of the same genre (embedding similarity from three audio models).</t>
  </si>
  <si>
    <t xml:space="preserve">typicality_corpus_clap, knn_distance_clap, typicality_genre_clap, ...</t>
  </si>
  <si>
    <t xml:space="preserve">songfeatures/corpus/novelty.py</t>
  </si>
  <si>
    <t xml:space="preserve">Novelty vs its time period</t>
  </si>
  <si>
    <t xml:space="preserve">How different a song sounds from songs released in the same years, and how many such songs were compared.</t>
  </si>
  <si>
    <t xml:space="preserve">n_period_peers_clap, typicality_period_clap, novelty_period_clap, ...</t>
  </si>
  <si>
    <t xml:space="preserve">Artist novelty</t>
  </si>
  <si>
    <t xml:space="preserve">How different a song sounds from the same artist's earlier songs.</t>
  </si>
  <si>
    <t xml:space="preserve">artist_novelty_clap, artist_novelty_effnet, artist_novelty_musicnn</t>
  </si>
  <si>
    <t xml:space="preserve">Spotify-equivalent layer (open_*) (open_features)</t>
  </si>
  <si>
    <t xml:space="preserve">Spotify's 13 audio features</t>
  </si>
  <si>
    <t xml:space="preserve">Open-source equivalents of Spotify's 13 audio features (duration, tempo, key, mode, loudness, time signature, danceability, energy, valence, acousticness, instrumentalness, speechiness, liveness), each computed from the modules above on Spotify's scale.</t>
  </si>
  <si>
    <t xml:space="preserve">Equivalent definitions, not Spotify's own numbers: validate against Spotify data where available.</t>
  </si>
  <si>
    <t xml:space="preserve">open_duration_ms, open_tempo, open_key, ...</t>
  </si>
  <si>
    <t xml:space="preserve">songfeatures/derived.py</t>
  </si>
  <si>
    <t xml:space="preserve">Diagnostics</t>
  </si>
  <si>
    <t xml:space="preserve">Signal-only energy variant, a flag when the two vocal detectors disagree, and the source used for each open_* value per song.</t>
  </si>
  <si>
    <t xml:space="preserve">open_energy_signal, vocal_detectors_disagree, open_sources</t>
  </si>
  <si>
    <t xml:space="preserve">Total</t>
  </si>
  <si>
    <t xml:space="preserve">Feature columns in features.csv, excluding song identifiers (track_id, artist, title ...).</t>
  </si>
  <si>
    <t xml:space="preserve">No. of groups</t>
  </si>
  <si>
    <t xml:space="preserve">Main open-source tool</t>
  </si>
  <si>
    <t xml:space="preserve">pyloudnorm (ITU-R BS.1770-4) + own EBU Tech 3342 implementation; numpy/scipy</t>
  </si>
  <si>
    <t xml:space="preserve">librosa, scipy</t>
  </si>
  <si>
    <t xml:space="preserve">librosa (beat tracking, tempogram, onsets, HPSS); Essentia Danceability (optional)</t>
  </si>
  <si>
    <t xml:space="preserve">librosa (CQT chroma, tonnetz, Viterbi); own key/chord/roughness implementations</t>
  </si>
  <si>
    <t xml:space="preserve">librosa + scikit-learn (Laplacian segmentation); optional allin1</t>
  </si>
  <si>
    <t xml:space="preserve">Demucs v4 htdemucs (source separation); librosa pYIN (f0)</t>
  </si>
  <si>
    <t xml:space="preserve">openSMILE 3 (eGeMAPSv02 functionals) on vocal-active segments of the Demucs vocal stem</t>
  </si>
  <si>
    <t xml:space="preserve">faster-whisper (Whisper large-v3 by default) on the vocal stem; VADER sentiment (English)</t>
  </si>
  <si>
    <t xml:space="preserve">essentia-tensorflow with MTG pretrained models (Discogs-EffNet, MSD-MusiCNN heads)</t>
  </si>
  <si>
    <t xml:space="preserve">LAION CLAP via Hugging Face transformers (default laion/larger_clap_general)</t>
  </si>
  <si>
    <t xml:space="preserve">own interpolated n-gram model (leave-one-out over the corpus)</t>
  </si>
  <si>
    <t xml:space="preserve">numpy on L2-normalised song embeddings (Discogs-EffNet mean, CLAP mean)</t>
  </si>
  <si>
    <t xml:space="preserve">Fixed formulas combining the modules above (songfeatures/derived.py)</t>
  </si>
  <si>
    <t xml:space="preserve">Spotify feature</t>
  </si>
  <si>
    <t xml:space="preserve">Pipeline column</t>
  </si>
  <si>
    <t xml:space="preserve">How the pipeline computes it</t>
  </si>
  <si>
    <t xml:space="preserve">duration_ms</t>
  </si>
  <si>
    <t xml:space="preserve">open_duration_ms</t>
  </si>
  <si>
    <t xml:space="preserve">Duration (Spotify duration_ms)</t>
  </si>
  <si>
    <t xml:space="preserve">tempo</t>
  </si>
  <si>
    <t xml:space="preserve">open_tempo</t>
  </si>
  <si>
    <t xml:space="preserve">Tempo (Spotify tempo) = tempo_bpm</t>
  </si>
  <si>
    <t xml:space="preserve">key</t>
  </si>
  <si>
    <t xml:space="preserve">open_key</t>
  </si>
  <si>
    <t xml:space="preserve">Key pitch class, 0 = C ... 11 = B, -1 if undetected (Spotify key)</t>
  </si>
  <si>
    <t xml:space="preserve">mode</t>
  </si>
  <si>
    <t xml:space="preserve">open_mode</t>
  </si>
  <si>
    <t xml:space="preserve">1 = major, 0 = minor (Spotify mode)</t>
  </si>
  <si>
    <t xml:space="preserve">loudness</t>
  </si>
  <si>
    <t xml:space="preserve">open_loudness</t>
  </si>
  <si>
    <t xml:space="preserve">Integrated loudness (Spotify loudness is an average dB level; here ITU-R BS.1770 LUFS)</t>
  </si>
  <si>
    <t xml:space="preserve">time_signature</t>
  </si>
  <si>
    <t xml:space="preserve">open_time_signature</t>
  </si>
  <si>
    <t xml:space="preserve">Beats per bar on Spotify's 3-7 scale: Beat This! downbeats when the bar grid is clear (confidence &gt;= 0.5; 2 beats per bar reported as 4), else time_signature_est (3 or 4)</t>
  </si>
  <si>
    <t xml:space="preserve">danceability</t>
  </si>
  <si>
    <t xml:space="preserve">open_danceability</t>
  </si>
  <si>
    <t xml:space="preserve">Danceability 0-1: Essentia danceability classifier probability; fallback DFA danceability / 3 (clipped)</t>
  </si>
  <si>
    <t xml:space="preserve">energy</t>
  </si>
  <si>
    <t xml:space="preserve">open_energy</t>
  </si>
  <si>
    <t xml:space="preserve">Energy 0-1: mean of 5 signal components (loudness, onset rate, &gt;2 kHz energy share, inverse loudness range, spectral flatness; fixed ranges) averaged with model arousal when available</t>
  </si>
  <si>
    <t xml:space="preserve">valence</t>
  </si>
  <si>
    <t xml:space="preserve">open_valence</t>
  </si>
  <si>
    <t xml:space="preserve">Valence 0-1: (DEAM valence - 1) / 8; fallback emoMusic, then CLAP happy-vs-sad</t>
  </si>
  <si>
    <t xml:space="preserve">acousticness</t>
  </si>
  <si>
    <t xml:space="preserve">open_acousticness</t>
  </si>
  <si>
    <t xml:space="preserve">Acousticness 0-1: Essentia acoustic-mood probability; fallback CLAP acoustic-vs-electronic</t>
  </si>
  <si>
    <t xml:space="preserve">instrumentalness</t>
  </si>
  <si>
    <t xml:space="preserve">open_instrumentalness</t>
  </si>
  <si>
    <t xml:space="preserve">Instrumentalness 0-1: 1 - vocal_presence_ratio / 0.2 (clipped, from separated vocals); fallback 1 - Essentia voice probability</t>
  </si>
  <si>
    <t xml:space="preserve">speechiness</t>
  </si>
  <si>
    <t xml:space="preserve">open_speechiness</t>
  </si>
  <si>
    <t xml:space="preserve">Speechiness 0-1: speech-like (spoken/rapped) vocal seconds / duration; fallback CLAP spoken-vs-sung</t>
  </si>
  <si>
    <t xml:space="preserve">liveness</t>
  </si>
  <si>
    <t xml:space="preserve">open_liveness</t>
  </si>
  <si>
    <t xml:space="preserve">Liveness 0-1: CLAP P(live recording with audience vs studio)</t>
  </si>
  <si>
    <t xml:space="preserve">What this is</t>
  </si>
  <si>
    <t xml:space="preserve">Feature groups produced by the open-source audio feature pipeline (repository: github.com/pezhmanlamei/Song-Analysis). Each song gets one row in features.csv; codebook.csv describes every column.</t>
  </si>
  <si>
    <t xml:space="preserve">Yes = Spotify's Web API gives an equivalent feature. Partly = Spotify gives a related single score (or gave it only in its Audio Analysis endpoint), but not the measures in this group. No = not available from Spotify.</t>
  </si>
  <si>
    <t xml:space="preserve">Spotify API status</t>
  </si>
  <si>
    <t xml:space="preserve">On 27 Nov 2024 Spotify closed its Audio Features and Audio Analysis endpoints to new apps, so the 13 features are no longer obtainable for new research projects; the open_* columns rebuild them from the full audio.</t>
  </si>
  <si>
    <t xml:space="preserve">Validation</t>
  </si>
  <si>
    <t xml:space="preserve">The pipeline was run on 100 Creative Commons songs from the Free Music Archive (10 genres) on GitHub Actions: all modules succeeded on all 100 songs.</t>
  </si>
  <si>
    <t xml:space="preserve">Corpus modules</t>
  </si>
  <si>
    <t xml:space="preserve">Musical surprise and typicality/novelty compare each song with the other songs in the dataset, so their values depend on the corpus analysed.</t>
  </si>
  <si>
    <t xml:space="preserve">Method rows</t>
  </si>
  <si>
    <t xml:space="preserve">Rows named 'Method information' or 'reliability flag' are for quality control and are not meant as analysis variables.</t>
  </si>
  <si>
    <t xml:space="preserve">Source</t>
  </si>
  <si>
    <t xml:space="preserve">Spotify for Developers blog, 'Introducing some changes to our Web API' (27 Nov 2024): https://developer.spotify.com/blog/2024-11-27-changes-to-the-web-api</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</si>
</sst>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u val="single"/>
      <sz val="10"/>
      <color rgb="FF0563C1"/>
      <name val="Arial"/>
      <family val="0"/>
      <charset val="1"/>
    </font>
    <font>
      <b val="true"/>
      <sz val="11"/>
      <name val="Arial"/>
      <family val="0"/>
      <charset val="1"/>
    </font>
    <font>
      <i val="true"/>
      <sz val="9"/>
      <name val="Arial"/>
      <family val="0"/>
      <charset val="1"/>
    </font>
    <font>
      <b val="true"/>
      <sz val="10"/>
      <name val="Arial"/>
      <family val="0"/>
      <charset val="1"/>
    </font>
    <font>
      <sz val="10"/>
      <color rgb="FF0000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EF3FA"/>
        <bgColor rgb="FFF2F2F2"/>
      </patternFill>
    </fill>
    <fill>
      <patternFill patternType="solid">
        <fgColor rgb="FFFFEB9C"/>
        <bgColor rgb="FFFFCC99"/>
      </patternFill>
    </fill>
    <fill>
      <patternFill patternType="solid">
        <fgColor rgb="FFF2F2F2"/>
        <bgColor rgb="FFEEF3FA"/>
      </patternFill>
    </fill>
    <fill>
      <patternFill patternType="solid">
        <fgColor rgb="FFC6EFCE"/>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EEF3FA"/>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EF3F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pezhmanlamei/Song-Analysis/blob/main/songfeatures/features/loudness.py" TargetMode="External"/><Relationship Id="rId2" Type="http://schemas.openxmlformats.org/officeDocument/2006/relationships/hyperlink" Target="https://github.com/pezhmanlamei/Song-Analysis/blob/main/songfeatures/features/loudness.py" TargetMode="External"/><Relationship Id="rId3" Type="http://schemas.openxmlformats.org/officeDocument/2006/relationships/hyperlink" Target="https://github.com/pezhmanlamei/Song-Analysis/blob/main/songfeatures/features/loudness.py" TargetMode="External"/><Relationship Id="rId4" Type="http://schemas.openxmlformats.org/officeDocument/2006/relationships/hyperlink" Target="https://github.com/pezhmanlamei/Song-Analysis/blob/main/songfeatures/features/loudness.py" TargetMode="External"/><Relationship Id="rId5" Type="http://schemas.openxmlformats.org/officeDocument/2006/relationships/hyperlink" Target="https://github.com/pezhmanlamei/Song-Analysis/blob/main/songfeatures/features/loudness.py" TargetMode="External"/><Relationship Id="rId6" Type="http://schemas.openxmlformats.org/officeDocument/2006/relationships/hyperlink" Target="https://github.com/pezhmanlamei/Song-Analysis/blob/main/songfeatures/features/timbre.py" TargetMode="External"/><Relationship Id="rId7" Type="http://schemas.openxmlformats.org/officeDocument/2006/relationships/hyperlink" Target="https://github.com/pezhmanlamei/Song-Analysis/blob/main/songfeatures/features/timbre.py" TargetMode="External"/><Relationship Id="rId8" Type="http://schemas.openxmlformats.org/officeDocument/2006/relationships/hyperlink" Target="https://github.com/pezhmanlamei/Song-Analysis/blob/main/songfeatures/features/timbre.py" TargetMode="External"/><Relationship Id="rId9" Type="http://schemas.openxmlformats.org/officeDocument/2006/relationships/hyperlink" Target="https://github.com/pezhmanlamei/Song-Analysis/blob/main/songfeatures/features/timbre.py" TargetMode="External"/><Relationship Id="rId10" Type="http://schemas.openxmlformats.org/officeDocument/2006/relationships/hyperlink" Target="https://github.com/pezhmanlamei/Song-Analysis/blob/main/songfeatures/features/rhythm.py" TargetMode="External"/><Relationship Id="rId11" Type="http://schemas.openxmlformats.org/officeDocument/2006/relationships/hyperlink" Target="https://github.com/pezhmanlamei/Song-Analysis/blob/main/songfeatures/features/rhythm.py" TargetMode="External"/><Relationship Id="rId12" Type="http://schemas.openxmlformats.org/officeDocument/2006/relationships/hyperlink" Target="https://github.com/pezhmanlamei/Song-Analysis/blob/main/songfeatures/features/rhythm.py" TargetMode="External"/><Relationship Id="rId13" Type="http://schemas.openxmlformats.org/officeDocument/2006/relationships/hyperlink" Target="https://github.com/pezhmanlamei/Song-Analysis/blob/main/songfeatures/features/rhythm.py" TargetMode="External"/><Relationship Id="rId14" Type="http://schemas.openxmlformats.org/officeDocument/2006/relationships/hyperlink" Target="https://github.com/pezhmanlamei/Song-Analysis/blob/main/songfeatures/features/rhythm.py" TargetMode="External"/><Relationship Id="rId15" Type="http://schemas.openxmlformats.org/officeDocument/2006/relationships/hyperlink" Target="https://github.com/pezhmanlamei/Song-Analysis/blob/main/songfeatures/features/rhythm.py" TargetMode="External"/><Relationship Id="rId16" Type="http://schemas.openxmlformats.org/officeDocument/2006/relationships/hyperlink" Target="https://github.com/pezhmanlamei/Song-Analysis/blob/main/songfeatures/features/harmony.py" TargetMode="External"/><Relationship Id="rId17" Type="http://schemas.openxmlformats.org/officeDocument/2006/relationships/hyperlink" Target="https://github.com/pezhmanlamei/Song-Analysis/blob/main/songfeatures/features/harmony.py" TargetMode="External"/><Relationship Id="rId18" Type="http://schemas.openxmlformats.org/officeDocument/2006/relationships/hyperlink" Target="https://github.com/pezhmanlamei/Song-Analysis/blob/main/songfeatures/features/harmony.py" TargetMode="External"/><Relationship Id="rId19" Type="http://schemas.openxmlformats.org/officeDocument/2006/relationships/hyperlink" Target="https://github.com/pezhmanlamei/Song-Analysis/blob/main/songfeatures/features/harmony.py" TargetMode="External"/><Relationship Id="rId20" Type="http://schemas.openxmlformats.org/officeDocument/2006/relationships/hyperlink" Target="https://github.com/pezhmanlamei/Song-Analysis/blob/main/songfeatures/features/harmony.py" TargetMode="External"/><Relationship Id="rId21" Type="http://schemas.openxmlformats.org/officeDocument/2006/relationships/hyperlink" Target="https://github.com/pezhmanlamei/Song-Analysis/blob/main/songfeatures/features/structure.py" TargetMode="External"/><Relationship Id="rId22" Type="http://schemas.openxmlformats.org/officeDocument/2006/relationships/hyperlink" Target="https://github.com/pezhmanlamei/Song-Analysis/blob/main/songfeatures/features/structure.py" TargetMode="External"/><Relationship Id="rId23" Type="http://schemas.openxmlformats.org/officeDocument/2006/relationships/hyperlink" Target="https://github.com/pezhmanlamei/Song-Analysis/blob/main/songfeatures/features/structure.py" TargetMode="External"/><Relationship Id="rId24" Type="http://schemas.openxmlformats.org/officeDocument/2006/relationships/hyperlink" Target="https://github.com/pezhmanlamei/Song-Analysis/blob/main/songfeatures/features/structure.py" TargetMode="External"/><Relationship Id="rId25" Type="http://schemas.openxmlformats.org/officeDocument/2006/relationships/hyperlink" Target="https://github.com/pezhmanlamei/Song-Analysis/blob/main/songfeatures/features/structure.py" TargetMode="External"/><Relationship Id="rId26" Type="http://schemas.openxmlformats.org/officeDocument/2006/relationships/hyperlink" Target="https://github.com/pezhmanlamei/Song-Analysis/blob/main/songfeatures/features/vocals.py" TargetMode="External"/><Relationship Id="rId27" Type="http://schemas.openxmlformats.org/officeDocument/2006/relationships/hyperlink" Target="https://github.com/pezhmanlamei/Song-Analysis/blob/main/songfeatures/features/vocals.py" TargetMode="External"/><Relationship Id="rId28" Type="http://schemas.openxmlformats.org/officeDocument/2006/relationships/hyperlink" Target="https://github.com/pezhmanlamei/Song-Analysis/blob/main/songfeatures/features/vocals.py" TargetMode="External"/><Relationship Id="rId29" Type="http://schemas.openxmlformats.org/officeDocument/2006/relationships/hyperlink" Target="https://github.com/pezhmanlamei/Song-Analysis/blob/main/songfeatures/features/vocals.py" TargetMode="External"/><Relationship Id="rId30" Type="http://schemas.openxmlformats.org/officeDocument/2006/relationships/hyperlink" Target="https://github.com/pezhmanlamei/Song-Analysis/blob/main/songfeatures/features/vocals.py" TargetMode="External"/><Relationship Id="rId31" Type="http://schemas.openxmlformats.org/officeDocument/2006/relationships/hyperlink" Target="https://github.com/pezhmanlamei/Song-Analysis/blob/main/songfeatures/features/vocals.py" TargetMode="External"/><Relationship Id="rId32" Type="http://schemas.openxmlformats.org/officeDocument/2006/relationships/hyperlink" Target="https://github.com/pezhmanlamei/Song-Analysis/blob/main/songfeatures/features/vocals.py" TargetMode="External"/><Relationship Id="rId33" Type="http://schemas.openxmlformats.org/officeDocument/2006/relationships/hyperlink" Target="https://github.com/pezhmanlamei/Song-Analysis/blob/main/songfeatures/features/voice_quality.py" TargetMode="External"/><Relationship Id="rId34" Type="http://schemas.openxmlformats.org/officeDocument/2006/relationships/hyperlink" Target="https://github.com/pezhmanlamei/Song-Analysis/blob/main/songfeatures/features/voice_quality.py" TargetMode="External"/><Relationship Id="rId35" Type="http://schemas.openxmlformats.org/officeDocument/2006/relationships/hyperlink" Target="https://github.com/pezhmanlamei/Song-Analysis/blob/main/songfeatures/features/voice_quality.py" TargetMode="External"/><Relationship Id="rId36" Type="http://schemas.openxmlformats.org/officeDocument/2006/relationships/hyperlink" Target="https://github.com/pezhmanlamei/Song-Analysis/blob/main/songfeatures/features/voice_quality.py" TargetMode="External"/><Relationship Id="rId37" Type="http://schemas.openxmlformats.org/officeDocument/2006/relationships/hyperlink" Target="https://github.com/pezhmanlamei/Song-Analysis/blob/main/songfeatures/features/voice_quality.py" TargetMode="External"/><Relationship Id="rId38" Type="http://schemas.openxmlformats.org/officeDocument/2006/relationships/hyperlink" Target="https://github.com/pezhmanlamei/Song-Analysis/blob/main/songfeatures/features/voice_quality.py" TargetMode="External"/><Relationship Id="rId39" Type="http://schemas.openxmlformats.org/officeDocument/2006/relationships/hyperlink" Target="https://github.com/pezhmanlamei/Song-Analysis/blob/main/songfeatures/features/voice_quality.py" TargetMode="External"/><Relationship Id="rId40" Type="http://schemas.openxmlformats.org/officeDocument/2006/relationships/hyperlink" Target="https://github.com/pezhmanlamei/Song-Analysis/blob/main/songfeatures/features/lyrics.py" TargetMode="External"/><Relationship Id="rId41" Type="http://schemas.openxmlformats.org/officeDocument/2006/relationships/hyperlink" Target="https://github.com/pezhmanlamei/Song-Analysis/blob/main/songfeatures/features/lyrics.py" TargetMode="External"/><Relationship Id="rId42" Type="http://schemas.openxmlformats.org/officeDocument/2006/relationships/hyperlink" Target="https://github.com/pezhmanlamei/Song-Analysis/blob/main/songfeatures/features/lyrics.py" TargetMode="External"/><Relationship Id="rId43" Type="http://schemas.openxmlformats.org/officeDocument/2006/relationships/hyperlink" Target="https://github.com/pezhmanlamei/Song-Analysis/blob/main/songfeatures/features/lyrics.py" TargetMode="External"/><Relationship Id="rId44" Type="http://schemas.openxmlformats.org/officeDocument/2006/relationships/hyperlink" Target="https://github.com/pezhmanlamei/Song-Analysis/blob/main/songfeatures/features/lyrics.py" TargetMode="External"/><Relationship Id="rId45" Type="http://schemas.openxmlformats.org/officeDocument/2006/relationships/hyperlink" Target="https://github.com/pezhmanlamei/Song-Analysis/blob/main/songfeatures/features/lyrics.py" TargetMode="External"/><Relationship Id="rId46" Type="http://schemas.openxmlformats.org/officeDocument/2006/relationships/hyperlink" Target="https://github.com/pezhmanlamei/Song-Analysis/blob/main/songfeatures/features/essentia_models.py" TargetMode="External"/><Relationship Id="rId47" Type="http://schemas.openxmlformats.org/officeDocument/2006/relationships/hyperlink" Target="https://github.com/pezhmanlamei/Song-Analysis/blob/main/songfeatures/features/essentia_models.py" TargetMode="External"/><Relationship Id="rId48" Type="http://schemas.openxmlformats.org/officeDocument/2006/relationships/hyperlink" Target="https://github.com/pezhmanlamei/Song-Analysis/blob/main/songfeatures/features/essentia_models.py" TargetMode="External"/><Relationship Id="rId49" Type="http://schemas.openxmlformats.org/officeDocument/2006/relationships/hyperlink" Target="https://github.com/pezhmanlamei/Song-Analysis/blob/main/songfeatures/features/essentia_models.py" TargetMode="External"/><Relationship Id="rId50" Type="http://schemas.openxmlformats.org/officeDocument/2006/relationships/hyperlink" Target="https://github.com/pezhmanlamei/Song-Analysis/blob/main/songfeatures/features/essentia_models.py" TargetMode="External"/><Relationship Id="rId51" Type="http://schemas.openxmlformats.org/officeDocument/2006/relationships/hyperlink" Target="https://github.com/pezhmanlamei/Song-Analysis/blob/main/songfeatures/features/essentia_models.py" TargetMode="External"/><Relationship Id="rId52" Type="http://schemas.openxmlformats.org/officeDocument/2006/relationships/hyperlink" Target="https://github.com/pezhmanlamei/Song-Analysis/blob/main/songfeatures/features/essentia_models.py" TargetMode="External"/><Relationship Id="rId53" Type="http://schemas.openxmlformats.org/officeDocument/2006/relationships/hyperlink" Target="https://github.com/pezhmanlamei/Song-Analysis/blob/main/songfeatures/features/essentia_models.py" TargetMode="External"/><Relationship Id="rId54" Type="http://schemas.openxmlformats.org/officeDocument/2006/relationships/hyperlink" Target="https://github.com/pezhmanlamei/Song-Analysis/blob/main/songfeatures/features/clap.py" TargetMode="External"/><Relationship Id="rId55" Type="http://schemas.openxmlformats.org/officeDocument/2006/relationships/hyperlink" Target="https://github.com/pezhmanlamei/Song-Analysis/blob/main/songfeatures/features/clap.py" TargetMode="External"/><Relationship Id="rId56" Type="http://schemas.openxmlformats.org/officeDocument/2006/relationships/hyperlink" Target="https://github.com/pezhmanlamei/Song-Analysis/blob/main/songfeatures/corpus/surprise.py" TargetMode="External"/><Relationship Id="rId57" Type="http://schemas.openxmlformats.org/officeDocument/2006/relationships/hyperlink" Target="https://github.com/pezhmanlamei/Song-Analysis/blob/main/songfeatures/corpus/surprise.py" TargetMode="External"/><Relationship Id="rId58" Type="http://schemas.openxmlformats.org/officeDocument/2006/relationships/hyperlink" Target="https://github.com/pezhmanlamei/Song-Analysis/blob/main/songfeatures/corpus/novelty.py" TargetMode="External"/><Relationship Id="rId59" Type="http://schemas.openxmlformats.org/officeDocument/2006/relationships/hyperlink" Target="https://github.com/pezhmanlamei/Song-Analysis/blob/main/songfeatures/corpus/novelty.py" TargetMode="External"/><Relationship Id="rId60" Type="http://schemas.openxmlformats.org/officeDocument/2006/relationships/hyperlink" Target="https://github.com/pezhmanlamei/Song-Analysis/blob/main/songfeatures/corpus/novelty.py" TargetMode="External"/><Relationship Id="rId61" Type="http://schemas.openxmlformats.org/officeDocument/2006/relationships/hyperlink" Target="https://github.com/pezhmanlamei/Song-Analysis/blob/main/songfeatures/derived.py" TargetMode="External"/><Relationship Id="rId62" Type="http://schemas.openxmlformats.org/officeDocument/2006/relationships/hyperlink" Target="https://github.com/pezhmanlamei/Song-Analysis/blob/main/songfeatures/derived.py" TargetMode="External"/><Relationship Id="rId6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github.com/pezhmanlamei/Song-Analysis/blob/main/songfeatures/features/loudness.py" TargetMode="External"/><Relationship Id="rId2" Type="http://schemas.openxmlformats.org/officeDocument/2006/relationships/hyperlink" Target="https://github.com/pezhmanlamei/Song-Analysis/blob/main/songfeatures/features/timbre.py" TargetMode="External"/><Relationship Id="rId3" Type="http://schemas.openxmlformats.org/officeDocument/2006/relationships/hyperlink" Target="https://github.com/pezhmanlamei/Song-Analysis/blob/main/songfeatures/features/rhythm.py" TargetMode="External"/><Relationship Id="rId4" Type="http://schemas.openxmlformats.org/officeDocument/2006/relationships/hyperlink" Target="https://github.com/pezhmanlamei/Song-Analysis/blob/main/songfeatures/features/harmony.py" TargetMode="External"/><Relationship Id="rId5" Type="http://schemas.openxmlformats.org/officeDocument/2006/relationships/hyperlink" Target="https://github.com/pezhmanlamei/Song-Analysis/blob/main/songfeatures/features/structure.py" TargetMode="External"/><Relationship Id="rId6" Type="http://schemas.openxmlformats.org/officeDocument/2006/relationships/hyperlink" Target="https://github.com/pezhmanlamei/Song-Analysis/blob/main/songfeatures/features/vocals.py" TargetMode="External"/><Relationship Id="rId7" Type="http://schemas.openxmlformats.org/officeDocument/2006/relationships/hyperlink" Target="https://github.com/pezhmanlamei/Song-Analysis/blob/main/songfeatures/features/voice_quality.py" TargetMode="External"/><Relationship Id="rId8" Type="http://schemas.openxmlformats.org/officeDocument/2006/relationships/hyperlink" Target="https://github.com/pezhmanlamei/Song-Analysis/blob/main/songfeatures/features/lyrics.py" TargetMode="External"/><Relationship Id="rId9" Type="http://schemas.openxmlformats.org/officeDocument/2006/relationships/hyperlink" Target="https://github.com/pezhmanlamei/Song-Analysis/blob/main/songfeatures/features/essentia_models.py" TargetMode="External"/><Relationship Id="rId10" Type="http://schemas.openxmlformats.org/officeDocument/2006/relationships/hyperlink" Target="https://github.com/pezhmanlamei/Song-Analysis/blob/main/songfeatures/features/clap.py" TargetMode="External"/><Relationship Id="rId11" Type="http://schemas.openxmlformats.org/officeDocument/2006/relationships/hyperlink" Target="https://github.com/pezhmanlamei/Song-Analysis/blob/main/songfeatures/corpus/surprise.py" TargetMode="External"/><Relationship Id="rId12" Type="http://schemas.openxmlformats.org/officeDocument/2006/relationships/hyperlink" Target="https://github.com/pezhmanlamei/Song-Analysis/blob/main/songfeatures/corpus/novelty.py" TargetMode="External"/><Relationship Id="rId13" Type="http://schemas.openxmlformats.org/officeDocument/2006/relationships/hyperlink" Target="https://github.com/pezhmanlamei/Song-Analysis/blob/main/songfeatures/derived.py"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eveloper.spotify.com/blog/2024-11-27-changes-to-the-web-ap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11"/>
    <col collapsed="false" customWidth="true" hidden="false" outlineLevel="0" max="4" min="4" style="0" width="70"/>
    <col collapsed="false" customWidth="true" hidden="false" outlineLevel="0" max="5" min="5" style="0" width="13"/>
    <col collapsed="false" customWidth="true" hidden="false" outlineLevel="0" max="6" min="6" style="0" width="42"/>
    <col collapsed="false" customWidth="true" hidden="false" outlineLevel="0" max="7" min="7" style="0" width="40"/>
    <col collapsed="false" customWidth="true" hidden="false" outlineLevel="0" max="8" min="8" style="0" width="30"/>
  </cols>
  <sheetData>
    <row r="1" customFormat="false" ht="30" hidden="false" customHeight="true" outlineLevel="0" collapsed="false">
      <c r="A1" s="1" t="s">
        <v>0</v>
      </c>
      <c r="B1" s="1" t="s">
        <v>1</v>
      </c>
      <c r="C1" s="1" t="s">
        <v>2</v>
      </c>
      <c r="D1" s="1" t="s">
        <v>3</v>
      </c>
      <c r="E1" s="1" t="s">
        <v>4</v>
      </c>
      <c r="F1" s="1" t="s">
        <v>5</v>
      </c>
      <c r="G1" s="1" t="s">
        <v>6</v>
      </c>
      <c r="H1" s="1" t="s">
        <v>7</v>
      </c>
    </row>
    <row r="2" customFormat="false" ht="35.05" hidden="false" customHeight="false" outlineLevel="0" collapsed="false">
      <c r="A2" s="2" t="s">
        <v>8</v>
      </c>
      <c r="B2" s="2" t="s">
        <v>9</v>
      </c>
      <c r="C2" s="3" t="n">
        <v>4</v>
      </c>
      <c r="D2" s="2" t="s">
        <v>10</v>
      </c>
      <c r="E2" s="4" t="s">
        <v>11</v>
      </c>
      <c r="F2" s="2" t="s">
        <v>12</v>
      </c>
      <c r="G2" s="2" t="s">
        <v>13</v>
      </c>
      <c r="H2" s="5" t="s">
        <v>14</v>
      </c>
    </row>
    <row r="3" customFormat="false" ht="35.05" hidden="false" customHeight="false" outlineLevel="0" collapsed="false">
      <c r="A3" s="2" t="s">
        <v>8</v>
      </c>
      <c r="B3" s="2" t="s">
        <v>15</v>
      </c>
      <c r="C3" s="3" t="n">
        <v>2</v>
      </c>
      <c r="D3" s="2" t="s">
        <v>16</v>
      </c>
      <c r="E3" s="6" t="s">
        <v>17</v>
      </c>
      <c r="F3" s="2"/>
      <c r="G3" s="2" t="s">
        <v>18</v>
      </c>
      <c r="H3" s="5" t="s">
        <v>14</v>
      </c>
    </row>
    <row r="4" customFormat="false" ht="35.05" hidden="false" customHeight="false" outlineLevel="0" collapsed="false">
      <c r="A4" s="2" t="s">
        <v>8</v>
      </c>
      <c r="B4" s="2" t="s">
        <v>19</v>
      </c>
      <c r="C4" s="3" t="n">
        <v>5</v>
      </c>
      <c r="D4" s="2" t="s">
        <v>20</v>
      </c>
      <c r="E4" s="6" t="s">
        <v>17</v>
      </c>
      <c r="F4" s="2"/>
      <c r="G4" s="2" t="s">
        <v>21</v>
      </c>
      <c r="H4" s="5" t="s">
        <v>14</v>
      </c>
    </row>
    <row r="5" customFormat="false" ht="23.85" hidden="false" customHeight="false" outlineLevel="0" collapsed="false">
      <c r="A5" s="2" t="s">
        <v>8</v>
      </c>
      <c r="B5" s="2" t="s">
        <v>22</v>
      </c>
      <c r="C5" s="3" t="n">
        <v>3</v>
      </c>
      <c r="D5" s="2" t="s">
        <v>23</v>
      </c>
      <c r="E5" s="6" t="s">
        <v>17</v>
      </c>
      <c r="F5" s="2"/>
      <c r="G5" s="2" t="s">
        <v>24</v>
      </c>
      <c r="H5" s="5" t="s">
        <v>14</v>
      </c>
    </row>
    <row r="6" customFormat="false" ht="15" hidden="false" customHeight="false" outlineLevel="0" collapsed="false">
      <c r="A6" s="2" t="s">
        <v>8</v>
      </c>
      <c r="B6" s="2" t="s">
        <v>25</v>
      </c>
      <c r="C6" s="3" t="n">
        <v>1</v>
      </c>
      <c r="D6" s="2" t="s">
        <v>26</v>
      </c>
      <c r="E6" s="7" t="s">
        <v>27</v>
      </c>
      <c r="F6" s="2" t="s">
        <v>28</v>
      </c>
      <c r="G6" s="2" t="s">
        <v>29</v>
      </c>
      <c r="H6" s="5" t="s">
        <v>14</v>
      </c>
    </row>
    <row r="7" customFormat="false" ht="35.05" hidden="false" customHeight="false" outlineLevel="0" collapsed="false">
      <c r="A7" s="8" t="s">
        <v>30</v>
      </c>
      <c r="B7" s="8" t="s">
        <v>31</v>
      </c>
      <c r="C7" s="9" t="n">
        <v>9</v>
      </c>
      <c r="D7" s="8" t="s">
        <v>32</v>
      </c>
      <c r="E7" s="6" t="s">
        <v>17</v>
      </c>
      <c r="F7" s="8"/>
      <c r="G7" s="8" t="s">
        <v>33</v>
      </c>
      <c r="H7" s="10" t="s">
        <v>34</v>
      </c>
    </row>
    <row r="8" customFormat="false" ht="23.85" hidden="false" customHeight="false" outlineLevel="0" collapsed="false">
      <c r="A8" s="8" t="s">
        <v>30</v>
      </c>
      <c r="B8" s="8" t="s">
        <v>35</v>
      </c>
      <c r="C8" s="9" t="n">
        <v>7</v>
      </c>
      <c r="D8" s="8" t="s">
        <v>36</v>
      </c>
      <c r="E8" s="6" t="s">
        <v>17</v>
      </c>
      <c r="F8" s="8"/>
      <c r="G8" s="8" t="s">
        <v>37</v>
      </c>
      <c r="H8" s="10" t="s">
        <v>34</v>
      </c>
    </row>
    <row r="9" customFormat="false" ht="35.05" hidden="false" customHeight="false" outlineLevel="0" collapsed="false">
      <c r="A9" s="8" t="s">
        <v>30</v>
      </c>
      <c r="B9" s="8" t="s">
        <v>38</v>
      </c>
      <c r="C9" s="9" t="n">
        <v>26</v>
      </c>
      <c r="D9" s="8" t="s">
        <v>39</v>
      </c>
      <c r="E9" s="4" t="s">
        <v>11</v>
      </c>
      <c r="F9" s="8" t="s">
        <v>40</v>
      </c>
      <c r="G9" s="8" t="s">
        <v>41</v>
      </c>
      <c r="H9" s="10" t="s">
        <v>34</v>
      </c>
    </row>
    <row r="10" customFormat="false" ht="23.85" hidden="false" customHeight="false" outlineLevel="0" collapsed="false">
      <c r="A10" s="8" t="s">
        <v>30</v>
      </c>
      <c r="B10" s="8" t="s">
        <v>42</v>
      </c>
      <c r="C10" s="9" t="n">
        <v>1</v>
      </c>
      <c r="D10" s="8" t="s">
        <v>43</v>
      </c>
      <c r="E10" s="6" t="s">
        <v>17</v>
      </c>
      <c r="F10" s="8"/>
      <c r="G10" s="8" t="s">
        <v>44</v>
      </c>
      <c r="H10" s="10" t="s">
        <v>34</v>
      </c>
    </row>
    <row r="11" customFormat="false" ht="23.85" hidden="false" customHeight="false" outlineLevel="0" collapsed="false">
      <c r="A11" s="2" t="s">
        <v>45</v>
      </c>
      <c r="B11" s="2" t="s">
        <v>46</v>
      </c>
      <c r="C11" s="3" t="n">
        <v>4</v>
      </c>
      <c r="D11" s="2" t="s">
        <v>47</v>
      </c>
      <c r="E11" s="4" t="s">
        <v>11</v>
      </c>
      <c r="F11" s="2" t="s">
        <v>48</v>
      </c>
      <c r="G11" s="2" t="s">
        <v>49</v>
      </c>
      <c r="H11" s="5" t="s">
        <v>50</v>
      </c>
    </row>
    <row r="12" customFormat="false" ht="23.85" hidden="false" customHeight="false" outlineLevel="0" collapsed="false">
      <c r="A12" s="2" t="s">
        <v>45</v>
      </c>
      <c r="B12" s="2" t="s">
        <v>51</v>
      </c>
      <c r="C12" s="3" t="n">
        <v>2</v>
      </c>
      <c r="D12" s="2" t="s">
        <v>52</v>
      </c>
      <c r="E12" s="6" t="s">
        <v>17</v>
      </c>
      <c r="F12" s="2"/>
      <c r="G12" s="2" t="s">
        <v>53</v>
      </c>
      <c r="H12" s="5" t="s">
        <v>50</v>
      </c>
    </row>
    <row r="13" customFormat="false" ht="23.85" hidden="false" customHeight="false" outlineLevel="0" collapsed="false">
      <c r="A13" s="2" t="s">
        <v>45</v>
      </c>
      <c r="B13" s="2" t="s">
        <v>54</v>
      </c>
      <c r="C13" s="3" t="n">
        <v>2</v>
      </c>
      <c r="D13" s="2" t="s">
        <v>55</v>
      </c>
      <c r="E13" s="6" t="s">
        <v>17</v>
      </c>
      <c r="F13" s="2"/>
      <c r="G13" s="2" t="s">
        <v>56</v>
      </c>
      <c r="H13" s="5" t="s">
        <v>50</v>
      </c>
    </row>
    <row r="14" customFormat="false" ht="23.85" hidden="false" customHeight="false" outlineLevel="0" collapsed="false">
      <c r="A14" s="2" t="s">
        <v>45</v>
      </c>
      <c r="B14" s="2" t="s">
        <v>57</v>
      </c>
      <c r="C14" s="3" t="n">
        <v>4</v>
      </c>
      <c r="D14" s="2" t="s">
        <v>58</v>
      </c>
      <c r="E14" s="7" t="s">
        <v>27</v>
      </c>
      <c r="F14" s="2" t="s">
        <v>59</v>
      </c>
      <c r="G14" s="2" t="s">
        <v>60</v>
      </c>
      <c r="H14" s="5" t="s">
        <v>50</v>
      </c>
    </row>
    <row r="15" customFormat="false" ht="23.85" hidden="false" customHeight="false" outlineLevel="0" collapsed="false">
      <c r="A15" s="2" t="s">
        <v>45</v>
      </c>
      <c r="B15" s="2" t="s">
        <v>61</v>
      </c>
      <c r="C15" s="3" t="n">
        <v>4</v>
      </c>
      <c r="D15" s="2" t="s">
        <v>62</v>
      </c>
      <c r="E15" s="4" t="s">
        <v>11</v>
      </c>
      <c r="F15" s="2" t="s">
        <v>63</v>
      </c>
      <c r="G15" s="2" t="s">
        <v>64</v>
      </c>
      <c r="H15" s="5" t="s">
        <v>50</v>
      </c>
    </row>
    <row r="16" customFormat="false" ht="23.85" hidden="false" customHeight="false" outlineLevel="0" collapsed="false">
      <c r="A16" s="2" t="s">
        <v>45</v>
      </c>
      <c r="B16" s="2" t="s">
        <v>65</v>
      </c>
      <c r="C16" s="3" t="n">
        <v>2</v>
      </c>
      <c r="D16" s="2" t="s">
        <v>66</v>
      </c>
      <c r="E16" s="6" t="s">
        <v>17</v>
      </c>
      <c r="F16" s="2"/>
      <c r="G16" s="2" t="s">
        <v>67</v>
      </c>
      <c r="H16" s="5" t="s">
        <v>50</v>
      </c>
    </row>
    <row r="17" customFormat="false" ht="23.85" hidden="false" customHeight="false" outlineLevel="0" collapsed="false">
      <c r="A17" s="8" t="s">
        <v>68</v>
      </c>
      <c r="B17" s="8" t="s">
        <v>69</v>
      </c>
      <c r="C17" s="9" t="n">
        <v>6</v>
      </c>
      <c r="D17" s="8" t="s">
        <v>70</v>
      </c>
      <c r="E17" s="4" t="s">
        <v>11</v>
      </c>
      <c r="F17" s="8" t="s">
        <v>71</v>
      </c>
      <c r="G17" s="8" t="s">
        <v>72</v>
      </c>
      <c r="H17" s="10" t="s">
        <v>73</v>
      </c>
    </row>
    <row r="18" customFormat="false" ht="23.85" hidden="false" customHeight="false" outlineLevel="0" collapsed="false">
      <c r="A18" s="8" t="s">
        <v>68</v>
      </c>
      <c r="B18" s="8" t="s">
        <v>74</v>
      </c>
      <c r="C18" s="9" t="n">
        <v>4</v>
      </c>
      <c r="D18" s="8" t="s">
        <v>75</v>
      </c>
      <c r="E18" s="6" t="s">
        <v>17</v>
      </c>
      <c r="F18" s="8"/>
      <c r="G18" s="8" t="s">
        <v>76</v>
      </c>
      <c r="H18" s="10" t="s">
        <v>73</v>
      </c>
    </row>
    <row r="19" customFormat="false" ht="35.05" hidden="false" customHeight="false" outlineLevel="0" collapsed="false">
      <c r="A19" s="8" t="s">
        <v>68</v>
      </c>
      <c r="B19" s="8" t="s">
        <v>77</v>
      </c>
      <c r="C19" s="9" t="n">
        <v>7</v>
      </c>
      <c r="D19" s="8" t="s">
        <v>78</v>
      </c>
      <c r="E19" s="6" t="s">
        <v>17</v>
      </c>
      <c r="F19" s="8"/>
      <c r="G19" s="8" t="s">
        <v>79</v>
      </c>
      <c r="H19" s="10" t="s">
        <v>73</v>
      </c>
    </row>
    <row r="20" customFormat="false" ht="23.85" hidden="false" customHeight="false" outlineLevel="0" collapsed="false">
      <c r="A20" s="8" t="s">
        <v>68</v>
      </c>
      <c r="B20" s="8" t="s">
        <v>80</v>
      </c>
      <c r="C20" s="9" t="n">
        <v>4</v>
      </c>
      <c r="D20" s="8" t="s">
        <v>81</v>
      </c>
      <c r="E20" s="6" t="s">
        <v>17</v>
      </c>
      <c r="F20" s="8"/>
      <c r="G20" s="8" t="s">
        <v>82</v>
      </c>
      <c r="H20" s="10" t="s">
        <v>73</v>
      </c>
    </row>
    <row r="21" customFormat="false" ht="15" hidden="false" customHeight="false" outlineLevel="0" collapsed="false">
      <c r="A21" s="8" t="s">
        <v>68</v>
      </c>
      <c r="B21" s="8" t="s">
        <v>65</v>
      </c>
      <c r="C21" s="9" t="n">
        <v>3</v>
      </c>
      <c r="D21" s="8" t="s">
        <v>83</v>
      </c>
      <c r="E21" s="6" t="s">
        <v>17</v>
      </c>
      <c r="F21" s="8"/>
      <c r="G21" s="8" t="s">
        <v>84</v>
      </c>
      <c r="H21" s="10" t="s">
        <v>73</v>
      </c>
    </row>
    <row r="22" customFormat="false" ht="23.85" hidden="false" customHeight="false" outlineLevel="0" collapsed="false">
      <c r="A22" s="2" t="s">
        <v>85</v>
      </c>
      <c r="B22" s="2" t="s">
        <v>86</v>
      </c>
      <c r="C22" s="3" t="n">
        <v>6</v>
      </c>
      <c r="D22" s="2" t="s">
        <v>87</v>
      </c>
      <c r="E22" s="4" t="s">
        <v>11</v>
      </c>
      <c r="F22" s="2" t="s">
        <v>88</v>
      </c>
      <c r="G22" s="2" t="s">
        <v>89</v>
      </c>
      <c r="H22" s="5" t="s">
        <v>90</v>
      </c>
    </row>
    <row r="23" customFormat="false" ht="35.05" hidden="false" customHeight="false" outlineLevel="0" collapsed="false">
      <c r="A23" s="2" t="s">
        <v>85</v>
      </c>
      <c r="B23" s="2" t="s">
        <v>91</v>
      </c>
      <c r="C23" s="3" t="n">
        <v>6</v>
      </c>
      <c r="D23" s="2" t="s">
        <v>92</v>
      </c>
      <c r="E23" s="6" t="s">
        <v>17</v>
      </c>
      <c r="F23" s="2"/>
      <c r="G23" s="2" t="s">
        <v>93</v>
      </c>
      <c r="H23" s="5" t="s">
        <v>90</v>
      </c>
    </row>
    <row r="24" customFormat="false" ht="23.85" hidden="false" customHeight="false" outlineLevel="0" collapsed="false">
      <c r="A24" s="2" t="s">
        <v>85</v>
      </c>
      <c r="B24" s="2" t="s">
        <v>94</v>
      </c>
      <c r="C24" s="3" t="n">
        <v>6</v>
      </c>
      <c r="D24" s="2" t="s">
        <v>95</v>
      </c>
      <c r="E24" s="6" t="s">
        <v>17</v>
      </c>
      <c r="F24" s="2"/>
      <c r="G24" s="2" t="s">
        <v>96</v>
      </c>
      <c r="H24" s="5" t="s">
        <v>90</v>
      </c>
    </row>
    <row r="25" customFormat="false" ht="23.85" hidden="false" customHeight="false" outlineLevel="0" collapsed="false">
      <c r="A25" s="2" t="s">
        <v>85</v>
      </c>
      <c r="B25" s="2" t="s">
        <v>97</v>
      </c>
      <c r="C25" s="3" t="n">
        <v>7</v>
      </c>
      <c r="D25" s="2" t="s">
        <v>98</v>
      </c>
      <c r="E25" s="4" t="s">
        <v>11</v>
      </c>
      <c r="F25" s="2" t="s">
        <v>99</v>
      </c>
      <c r="G25" s="2" t="s">
        <v>100</v>
      </c>
      <c r="H25" s="5" t="s">
        <v>90</v>
      </c>
    </row>
    <row r="26" customFormat="false" ht="23.85" hidden="false" customHeight="false" outlineLevel="0" collapsed="false">
      <c r="A26" s="2" t="s">
        <v>85</v>
      </c>
      <c r="B26" s="2" t="s">
        <v>101</v>
      </c>
      <c r="C26" s="3" t="n">
        <v>2</v>
      </c>
      <c r="D26" s="2" t="s">
        <v>102</v>
      </c>
      <c r="E26" s="6" t="s">
        <v>17</v>
      </c>
      <c r="F26" s="2"/>
      <c r="G26" s="2" t="s">
        <v>103</v>
      </c>
      <c r="H26" s="5" t="s">
        <v>90</v>
      </c>
    </row>
    <row r="27" customFormat="false" ht="23.85" hidden="false" customHeight="false" outlineLevel="0" collapsed="false">
      <c r="A27" s="8" t="s">
        <v>104</v>
      </c>
      <c r="B27" s="8" t="s">
        <v>105</v>
      </c>
      <c r="C27" s="9" t="n">
        <v>4</v>
      </c>
      <c r="D27" s="8" t="s">
        <v>106</v>
      </c>
      <c r="E27" s="6" t="s">
        <v>17</v>
      </c>
      <c r="F27" s="8"/>
      <c r="G27" s="8" t="s">
        <v>107</v>
      </c>
      <c r="H27" s="10" t="s">
        <v>108</v>
      </c>
    </row>
    <row r="28" customFormat="false" ht="23.85" hidden="false" customHeight="false" outlineLevel="0" collapsed="false">
      <c r="A28" s="8" t="s">
        <v>104</v>
      </c>
      <c r="B28" s="8" t="s">
        <v>109</v>
      </c>
      <c r="C28" s="9" t="n">
        <v>5</v>
      </c>
      <c r="D28" s="8" t="s">
        <v>110</v>
      </c>
      <c r="E28" s="4" t="s">
        <v>11</v>
      </c>
      <c r="F28" s="8" t="s">
        <v>111</v>
      </c>
      <c r="G28" s="8" t="s">
        <v>112</v>
      </c>
      <c r="H28" s="10" t="s">
        <v>108</v>
      </c>
    </row>
    <row r="29" customFormat="false" ht="23.85" hidden="false" customHeight="false" outlineLevel="0" collapsed="false">
      <c r="A29" s="8" t="s">
        <v>104</v>
      </c>
      <c r="B29" s="8" t="s">
        <v>113</v>
      </c>
      <c r="C29" s="9" t="n">
        <v>3</v>
      </c>
      <c r="D29" s="8" t="s">
        <v>114</v>
      </c>
      <c r="E29" s="4" t="s">
        <v>11</v>
      </c>
      <c r="F29" s="8" t="s">
        <v>115</v>
      </c>
      <c r="G29" s="8" t="s">
        <v>116</v>
      </c>
      <c r="H29" s="10" t="s">
        <v>108</v>
      </c>
    </row>
    <row r="30" customFormat="false" ht="23.85" hidden="false" customHeight="false" outlineLevel="0" collapsed="false">
      <c r="A30" s="8" t="s">
        <v>104</v>
      </c>
      <c r="B30" s="8" t="s">
        <v>117</v>
      </c>
      <c r="C30" s="9" t="n">
        <v>4</v>
      </c>
      <c r="D30" s="8" t="s">
        <v>118</v>
      </c>
      <c r="E30" s="6" t="s">
        <v>17</v>
      </c>
      <c r="F30" s="8"/>
      <c r="G30" s="8" t="s">
        <v>119</v>
      </c>
      <c r="H30" s="10" t="s">
        <v>108</v>
      </c>
    </row>
    <row r="31" customFormat="false" ht="35.05" hidden="false" customHeight="false" outlineLevel="0" collapsed="false">
      <c r="A31" s="8" t="s">
        <v>104</v>
      </c>
      <c r="B31" s="8" t="s">
        <v>120</v>
      </c>
      <c r="C31" s="9" t="n">
        <v>6</v>
      </c>
      <c r="D31" s="8" t="s">
        <v>121</v>
      </c>
      <c r="E31" s="6" t="s">
        <v>17</v>
      </c>
      <c r="F31" s="8"/>
      <c r="G31" s="8" t="s">
        <v>122</v>
      </c>
      <c r="H31" s="10" t="s">
        <v>108</v>
      </c>
    </row>
    <row r="32" customFormat="false" ht="23.85" hidden="false" customHeight="false" outlineLevel="0" collapsed="false">
      <c r="A32" s="8" t="s">
        <v>104</v>
      </c>
      <c r="B32" s="8" t="s">
        <v>123</v>
      </c>
      <c r="C32" s="9" t="n">
        <v>6</v>
      </c>
      <c r="D32" s="8" t="s">
        <v>124</v>
      </c>
      <c r="E32" s="6" t="s">
        <v>17</v>
      </c>
      <c r="F32" s="8"/>
      <c r="G32" s="8" t="s">
        <v>125</v>
      </c>
      <c r="H32" s="10" t="s">
        <v>108</v>
      </c>
    </row>
    <row r="33" customFormat="false" ht="23.85" hidden="false" customHeight="false" outlineLevel="0" collapsed="false">
      <c r="A33" s="8" t="s">
        <v>104</v>
      </c>
      <c r="B33" s="8" t="s">
        <v>65</v>
      </c>
      <c r="C33" s="9" t="n">
        <v>2</v>
      </c>
      <c r="D33" s="8" t="s">
        <v>126</v>
      </c>
      <c r="E33" s="6" t="s">
        <v>17</v>
      </c>
      <c r="F33" s="8"/>
      <c r="G33" s="8" t="s">
        <v>127</v>
      </c>
      <c r="H33" s="10" t="s">
        <v>108</v>
      </c>
    </row>
    <row r="34" customFormat="false" ht="68.65" hidden="false" customHeight="false" outlineLevel="0" collapsed="false">
      <c r="A34" s="2" t="s">
        <v>128</v>
      </c>
      <c r="B34" s="2" t="s">
        <v>129</v>
      </c>
      <c r="C34" s="3" t="n">
        <v>10</v>
      </c>
      <c r="D34" s="2" t="s">
        <v>130</v>
      </c>
      <c r="E34" s="6" t="s">
        <v>17</v>
      </c>
      <c r="F34" s="2"/>
      <c r="G34" s="2" t="s">
        <v>131</v>
      </c>
      <c r="H34" s="5" t="s">
        <v>132</v>
      </c>
    </row>
    <row r="35" customFormat="false" ht="35.05" hidden="false" customHeight="false" outlineLevel="0" collapsed="false">
      <c r="A35" s="2" t="s">
        <v>128</v>
      </c>
      <c r="B35" s="2" t="s">
        <v>133</v>
      </c>
      <c r="C35" s="3" t="n">
        <v>12</v>
      </c>
      <c r="D35" s="2" t="s">
        <v>134</v>
      </c>
      <c r="E35" s="6" t="s">
        <v>17</v>
      </c>
      <c r="F35" s="2"/>
      <c r="G35" s="2" t="s">
        <v>135</v>
      </c>
      <c r="H35" s="5" t="s">
        <v>132</v>
      </c>
    </row>
    <row r="36" customFormat="false" ht="35.05" hidden="false" customHeight="false" outlineLevel="0" collapsed="false">
      <c r="A36" s="2" t="s">
        <v>128</v>
      </c>
      <c r="B36" s="2" t="s">
        <v>136</v>
      </c>
      <c r="C36" s="3" t="n">
        <v>10</v>
      </c>
      <c r="D36" s="2" t="s">
        <v>137</v>
      </c>
      <c r="E36" s="6" t="s">
        <v>17</v>
      </c>
      <c r="F36" s="2"/>
      <c r="G36" s="2" t="s">
        <v>138</v>
      </c>
      <c r="H36" s="5" t="s">
        <v>132</v>
      </c>
    </row>
    <row r="37" customFormat="false" ht="35.05" hidden="false" customHeight="false" outlineLevel="0" collapsed="false">
      <c r="A37" s="2" t="s">
        <v>128</v>
      </c>
      <c r="B37" s="2" t="s">
        <v>139</v>
      </c>
      <c r="C37" s="3" t="n">
        <v>18</v>
      </c>
      <c r="D37" s="2" t="s">
        <v>140</v>
      </c>
      <c r="E37" s="6" t="s">
        <v>17</v>
      </c>
      <c r="F37" s="2"/>
      <c r="G37" s="2" t="s">
        <v>141</v>
      </c>
      <c r="H37" s="5" t="s">
        <v>132</v>
      </c>
    </row>
    <row r="38" customFormat="false" ht="35.05" hidden="false" customHeight="false" outlineLevel="0" collapsed="false">
      <c r="A38" s="2" t="s">
        <v>128</v>
      </c>
      <c r="B38" s="2" t="s">
        <v>142</v>
      </c>
      <c r="C38" s="3" t="n">
        <v>33</v>
      </c>
      <c r="D38" s="2" t="s">
        <v>143</v>
      </c>
      <c r="E38" s="6" t="s">
        <v>17</v>
      </c>
      <c r="F38" s="2"/>
      <c r="G38" s="2" t="s">
        <v>144</v>
      </c>
      <c r="H38" s="5" t="s">
        <v>132</v>
      </c>
    </row>
    <row r="39" customFormat="false" ht="35.05" hidden="false" customHeight="false" outlineLevel="0" collapsed="false">
      <c r="A39" s="2" t="s">
        <v>128</v>
      </c>
      <c r="B39" s="2" t="s">
        <v>145</v>
      </c>
      <c r="C39" s="3" t="n">
        <v>5</v>
      </c>
      <c r="D39" s="2" t="s">
        <v>146</v>
      </c>
      <c r="E39" s="6" t="s">
        <v>17</v>
      </c>
      <c r="F39" s="2"/>
      <c r="G39" s="2" t="s">
        <v>147</v>
      </c>
      <c r="H39" s="5" t="s">
        <v>132</v>
      </c>
    </row>
    <row r="40" customFormat="false" ht="23.85" hidden="false" customHeight="false" outlineLevel="0" collapsed="false">
      <c r="A40" s="2" t="s">
        <v>128</v>
      </c>
      <c r="B40" s="2" t="s">
        <v>148</v>
      </c>
      <c r="C40" s="3" t="n">
        <v>1</v>
      </c>
      <c r="D40" s="2" t="s">
        <v>149</v>
      </c>
      <c r="E40" s="6" t="s">
        <v>17</v>
      </c>
      <c r="F40" s="2"/>
      <c r="G40" s="2" t="s">
        <v>150</v>
      </c>
      <c r="H40" s="5" t="s">
        <v>132</v>
      </c>
    </row>
    <row r="41" customFormat="false" ht="23.85" hidden="false" customHeight="false" outlineLevel="0" collapsed="false">
      <c r="A41" s="8" t="s">
        <v>151</v>
      </c>
      <c r="B41" s="8" t="s">
        <v>152</v>
      </c>
      <c r="C41" s="9" t="n">
        <v>4</v>
      </c>
      <c r="D41" s="8" t="s">
        <v>153</v>
      </c>
      <c r="E41" s="6" t="s">
        <v>17</v>
      </c>
      <c r="F41" s="8"/>
      <c r="G41" s="8" t="s">
        <v>154</v>
      </c>
      <c r="H41" s="10" t="s">
        <v>155</v>
      </c>
    </row>
    <row r="42" customFormat="false" ht="23.85" hidden="false" customHeight="false" outlineLevel="0" collapsed="false">
      <c r="A42" s="8" t="s">
        <v>151</v>
      </c>
      <c r="B42" s="8" t="s">
        <v>156</v>
      </c>
      <c r="C42" s="9" t="n">
        <v>4</v>
      </c>
      <c r="D42" s="8" t="s">
        <v>157</v>
      </c>
      <c r="E42" s="6" t="s">
        <v>17</v>
      </c>
      <c r="F42" s="8"/>
      <c r="G42" s="8" t="s">
        <v>158</v>
      </c>
      <c r="H42" s="10" t="s">
        <v>155</v>
      </c>
    </row>
    <row r="43" customFormat="false" ht="23.85" hidden="false" customHeight="false" outlineLevel="0" collapsed="false">
      <c r="A43" s="8" t="s">
        <v>151</v>
      </c>
      <c r="B43" s="8" t="s">
        <v>159</v>
      </c>
      <c r="C43" s="9" t="n">
        <v>2</v>
      </c>
      <c r="D43" s="8" t="s">
        <v>160</v>
      </c>
      <c r="E43" s="6" t="s">
        <v>17</v>
      </c>
      <c r="F43" s="8"/>
      <c r="G43" s="8" t="s">
        <v>161</v>
      </c>
      <c r="H43" s="10" t="s">
        <v>155</v>
      </c>
    </row>
    <row r="44" customFormat="false" ht="23.85" hidden="false" customHeight="false" outlineLevel="0" collapsed="false">
      <c r="A44" s="8" t="s">
        <v>151</v>
      </c>
      <c r="B44" s="8" t="s">
        <v>162</v>
      </c>
      <c r="C44" s="9" t="n">
        <v>2</v>
      </c>
      <c r="D44" s="8" t="s">
        <v>163</v>
      </c>
      <c r="E44" s="6" t="s">
        <v>17</v>
      </c>
      <c r="F44" s="8"/>
      <c r="G44" s="8" t="s">
        <v>164</v>
      </c>
      <c r="H44" s="10" t="s">
        <v>155</v>
      </c>
    </row>
    <row r="45" customFormat="false" ht="23.85" hidden="false" customHeight="false" outlineLevel="0" collapsed="false">
      <c r="A45" s="8" t="s">
        <v>151</v>
      </c>
      <c r="B45" s="8" t="s">
        <v>165</v>
      </c>
      <c r="C45" s="9" t="n">
        <v>2</v>
      </c>
      <c r="D45" s="8" t="s">
        <v>166</v>
      </c>
      <c r="E45" s="6" t="s">
        <v>17</v>
      </c>
      <c r="F45" s="8"/>
      <c r="G45" s="8" t="s">
        <v>167</v>
      </c>
      <c r="H45" s="10" t="s">
        <v>155</v>
      </c>
    </row>
    <row r="46" customFormat="false" ht="35.05" hidden="false" customHeight="false" outlineLevel="0" collapsed="false">
      <c r="A46" s="8" t="s">
        <v>151</v>
      </c>
      <c r="B46" s="8" t="s">
        <v>168</v>
      </c>
      <c r="C46" s="9" t="n">
        <v>3</v>
      </c>
      <c r="D46" s="8" t="s">
        <v>169</v>
      </c>
      <c r="E46" s="6" t="s">
        <v>17</v>
      </c>
      <c r="F46" s="8"/>
      <c r="G46" s="8" t="s">
        <v>170</v>
      </c>
      <c r="H46" s="10" t="s">
        <v>155</v>
      </c>
    </row>
    <row r="47" customFormat="false" ht="23.85" hidden="false" customHeight="false" outlineLevel="0" collapsed="false">
      <c r="A47" s="2" t="s">
        <v>171</v>
      </c>
      <c r="B47" s="2" t="s">
        <v>172</v>
      </c>
      <c r="C47" s="3" t="n">
        <v>19</v>
      </c>
      <c r="D47" s="2" t="s">
        <v>173</v>
      </c>
      <c r="E47" s="6" t="s">
        <v>17</v>
      </c>
      <c r="F47" s="2" t="s">
        <v>174</v>
      </c>
      <c r="G47" s="2" t="s">
        <v>175</v>
      </c>
      <c r="H47" s="5" t="s">
        <v>176</v>
      </c>
    </row>
    <row r="48" customFormat="false" ht="23.85" hidden="false" customHeight="false" outlineLevel="0" collapsed="false">
      <c r="A48" s="2" t="s">
        <v>171</v>
      </c>
      <c r="B48" s="2" t="s">
        <v>177</v>
      </c>
      <c r="C48" s="3" t="n">
        <v>7</v>
      </c>
      <c r="D48" s="2" t="s">
        <v>178</v>
      </c>
      <c r="E48" s="4" t="s">
        <v>11</v>
      </c>
      <c r="F48" s="2" t="s">
        <v>179</v>
      </c>
      <c r="G48" s="2" t="s">
        <v>180</v>
      </c>
      <c r="H48" s="5" t="s">
        <v>176</v>
      </c>
    </row>
    <row r="49" customFormat="false" ht="23.85" hidden="false" customHeight="false" outlineLevel="0" collapsed="false">
      <c r="A49" s="2" t="s">
        <v>171</v>
      </c>
      <c r="B49" s="2" t="s">
        <v>181</v>
      </c>
      <c r="C49" s="3" t="n">
        <v>3</v>
      </c>
      <c r="D49" s="2" t="s">
        <v>182</v>
      </c>
      <c r="E49" s="4" t="s">
        <v>11</v>
      </c>
      <c r="F49" s="2" t="s">
        <v>183</v>
      </c>
      <c r="G49" s="2" t="s">
        <v>184</v>
      </c>
      <c r="H49" s="5" t="s">
        <v>176</v>
      </c>
    </row>
    <row r="50" customFormat="false" ht="35.05" hidden="false" customHeight="false" outlineLevel="0" collapsed="false">
      <c r="A50" s="2" t="s">
        <v>171</v>
      </c>
      <c r="B50" s="2" t="s">
        <v>185</v>
      </c>
      <c r="C50" s="3" t="n">
        <v>28</v>
      </c>
      <c r="D50" s="2" t="s">
        <v>186</v>
      </c>
      <c r="E50" s="4" t="s">
        <v>11</v>
      </c>
      <c r="F50" s="2" t="s">
        <v>187</v>
      </c>
      <c r="G50" s="2" t="s">
        <v>188</v>
      </c>
      <c r="H50" s="5" t="s">
        <v>176</v>
      </c>
    </row>
    <row r="51" customFormat="false" ht="23.85" hidden="false" customHeight="false" outlineLevel="0" collapsed="false">
      <c r="A51" s="2" t="s">
        <v>171</v>
      </c>
      <c r="B51" s="2" t="s">
        <v>189</v>
      </c>
      <c r="C51" s="3" t="n">
        <v>56</v>
      </c>
      <c r="D51" s="2" t="s">
        <v>190</v>
      </c>
      <c r="E51" s="6" t="s">
        <v>17</v>
      </c>
      <c r="F51" s="2"/>
      <c r="G51" s="2" t="s">
        <v>191</v>
      </c>
      <c r="H51" s="5" t="s">
        <v>176</v>
      </c>
    </row>
    <row r="52" customFormat="false" ht="35.05" hidden="false" customHeight="false" outlineLevel="0" collapsed="false">
      <c r="A52" s="2" t="s">
        <v>171</v>
      </c>
      <c r="B52" s="2" t="s">
        <v>192</v>
      </c>
      <c r="C52" s="3" t="n">
        <v>40</v>
      </c>
      <c r="D52" s="2" t="s">
        <v>193</v>
      </c>
      <c r="E52" s="6" t="s">
        <v>17</v>
      </c>
      <c r="F52" s="2"/>
      <c r="G52" s="2" t="s">
        <v>194</v>
      </c>
      <c r="H52" s="5" t="s">
        <v>176</v>
      </c>
    </row>
    <row r="53" customFormat="false" ht="23.85" hidden="false" customHeight="false" outlineLevel="0" collapsed="false">
      <c r="A53" s="2" t="s">
        <v>171</v>
      </c>
      <c r="B53" s="2" t="s">
        <v>195</v>
      </c>
      <c r="C53" s="3" t="n">
        <v>2</v>
      </c>
      <c r="D53" s="2" t="s">
        <v>196</v>
      </c>
      <c r="E53" s="6" t="s">
        <v>17</v>
      </c>
      <c r="F53" s="2"/>
      <c r="G53" s="2" t="s">
        <v>197</v>
      </c>
      <c r="H53" s="5" t="s">
        <v>176</v>
      </c>
    </row>
    <row r="54" customFormat="false" ht="23.85" hidden="false" customHeight="false" outlineLevel="0" collapsed="false">
      <c r="A54" s="2" t="s">
        <v>171</v>
      </c>
      <c r="B54" s="2" t="s">
        <v>65</v>
      </c>
      <c r="C54" s="3" t="n">
        <v>1</v>
      </c>
      <c r="D54" s="2" t="s">
        <v>198</v>
      </c>
      <c r="E54" s="6" t="s">
        <v>17</v>
      </c>
      <c r="F54" s="2"/>
      <c r="G54" s="2" t="s">
        <v>199</v>
      </c>
      <c r="H54" s="5" t="s">
        <v>176</v>
      </c>
    </row>
    <row r="55" customFormat="false" ht="35.05" hidden="false" customHeight="false" outlineLevel="0" collapsed="false">
      <c r="A55" s="8" t="s">
        <v>200</v>
      </c>
      <c r="B55" s="8" t="s">
        <v>201</v>
      </c>
      <c r="C55" s="9" t="n">
        <v>12</v>
      </c>
      <c r="D55" s="8" t="s">
        <v>202</v>
      </c>
      <c r="E55" s="4" t="s">
        <v>11</v>
      </c>
      <c r="F55" s="8" t="s">
        <v>203</v>
      </c>
      <c r="G55" s="8" t="s">
        <v>204</v>
      </c>
      <c r="H55" s="10" t="s">
        <v>205</v>
      </c>
    </row>
    <row r="56" customFormat="false" ht="35.05" hidden="false" customHeight="false" outlineLevel="0" collapsed="false">
      <c r="A56" s="8" t="s">
        <v>200</v>
      </c>
      <c r="B56" s="8" t="s">
        <v>206</v>
      </c>
      <c r="C56" s="9" t="n">
        <v>20</v>
      </c>
      <c r="D56" s="8" t="s">
        <v>207</v>
      </c>
      <c r="E56" s="6" t="s">
        <v>17</v>
      </c>
      <c r="F56" s="8"/>
      <c r="G56" s="8" t="s">
        <v>208</v>
      </c>
      <c r="H56" s="10" t="s">
        <v>205</v>
      </c>
    </row>
    <row r="57" customFormat="false" ht="35.05" hidden="false" customHeight="false" outlineLevel="0" collapsed="false">
      <c r="A57" s="2" t="s">
        <v>209</v>
      </c>
      <c r="B57" s="2" t="s">
        <v>210</v>
      </c>
      <c r="C57" s="3" t="n">
        <v>5</v>
      </c>
      <c r="D57" s="2" t="s">
        <v>211</v>
      </c>
      <c r="E57" s="6" t="s">
        <v>17</v>
      </c>
      <c r="F57" s="2"/>
      <c r="G57" s="2" t="s">
        <v>212</v>
      </c>
      <c r="H57" s="5" t="s">
        <v>213</v>
      </c>
    </row>
    <row r="58" customFormat="false" ht="23.85" hidden="false" customHeight="false" outlineLevel="0" collapsed="false">
      <c r="A58" s="2" t="s">
        <v>209</v>
      </c>
      <c r="B58" s="2" t="s">
        <v>214</v>
      </c>
      <c r="C58" s="3" t="n">
        <v>5</v>
      </c>
      <c r="D58" s="2" t="s">
        <v>215</v>
      </c>
      <c r="E58" s="6" t="s">
        <v>17</v>
      </c>
      <c r="F58" s="2"/>
      <c r="G58" s="2" t="s">
        <v>216</v>
      </c>
      <c r="H58" s="5" t="s">
        <v>213</v>
      </c>
    </row>
    <row r="59" customFormat="false" ht="23.85" hidden="false" customHeight="false" outlineLevel="0" collapsed="false">
      <c r="A59" s="8" t="s">
        <v>217</v>
      </c>
      <c r="B59" s="8" t="s">
        <v>218</v>
      </c>
      <c r="C59" s="9" t="n">
        <v>9</v>
      </c>
      <c r="D59" s="8" t="s">
        <v>219</v>
      </c>
      <c r="E59" s="6" t="s">
        <v>17</v>
      </c>
      <c r="F59" s="8"/>
      <c r="G59" s="8" t="s">
        <v>220</v>
      </c>
      <c r="H59" s="10" t="s">
        <v>221</v>
      </c>
    </row>
    <row r="60" customFormat="false" ht="23.85" hidden="false" customHeight="false" outlineLevel="0" collapsed="false">
      <c r="A60" s="8" t="s">
        <v>217</v>
      </c>
      <c r="B60" s="8" t="s">
        <v>222</v>
      </c>
      <c r="C60" s="9" t="n">
        <v>9</v>
      </c>
      <c r="D60" s="8" t="s">
        <v>223</v>
      </c>
      <c r="E60" s="6" t="s">
        <v>17</v>
      </c>
      <c r="F60" s="8"/>
      <c r="G60" s="8" t="s">
        <v>224</v>
      </c>
      <c r="H60" s="10" t="s">
        <v>221</v>
      </c>
    </row>
    <row r="61" customFormat="false" ht="23.85" hidden="false" customHeight="false" outlineLevel="0" collapsed="false">
      <c r="A61" s="8" t="s">
        <v>217</v>
      </c>
      <c r="B61" s="8" t="s">
        <v>225</v>
      </c>
      <c r="C61" s="9" t="n">
        <v>3</v>
      </c>
      <c r="D61" s="8" t="s">
        <v>226</v>
      </c>
      <c r="E61" s="6" t="s">
        <v>17</v>
      </c>
      <c r="F61" s="8"/>
      <c r="G61" s="8" t="s">
        <v>227</v>
      </c>
      <c r="H61" s="10" t="s">
        <v>221</v>
      </c>
    </row>
    <row r="62" customFormat="false" ht="46.25" hidden="false" customHeight="false" outlineLevel="0" collapsed="false">
      <c r="A62" s="2" t="s">
        <v>228</v>
      </c>
      <c r="B62" s="2" t="s">
        <v>229</v>
      </c>
      <c r="C62" s="3" t="n">
        <v>13</v>
      </c>
      <c r="D62" s="2" t="s">
        <v>230</v>
      </c>
      <c r="E62" s="7" t="s">
        <v>27</v>
      </c>
      <c r="F62" s="2" t="s">
        <v>231</v>
      </c>
      <c r="G62" s="2" t="s">
        <v>232</v>
      </c>
      <c r="H62" s="5" t="s">
        <v>233</v>
      </c>
    </row>
    <row r="63" customFormat="false" ht="23.85" hidden="false" customHeight="false" outlineLevel="0" collapsed="false">
      <c r="A63" s="2" t="s">
        <v>228</v>
      </c>
      <c r="B63" s="2" t="s">
        <v>234</v>
      </c>
      <c r="C63" s="3" t="n">
        <v>3</v>
      </c>
      <c r="D63" s="2" t="s">
        <v>235</v>
      </c>
      <c r="E63" s="6" t="s">
        <v>17</v>
      </c>
      <c r="F63" s="2"/>
      <c r="G63" s="2" t="s">
        <v>236</v>
      </c>
      <c r="H63" s="5" t="s">
        <v>233</v>
      </c>
    </row>
    <row r="65" customFormat="false" ht="15" hidden="false" customHeight="false" outlineLevel="0" collapsed="false">
      <c r="B65" s="11" t="s">
        <v>237</v>
      </c>
      <c r="C65" s="12" t="n">
        <f aca="false">SUM(C2:C63)</f>
        <v>498</v>
      </c>
      <c r="D65" s="13" t="s">
        <v>238</v>
      </c>
    </row>
  </sheetData>
  <autoFilter ref="A1:H63"/>
  <hyperlinks>
    <hyperlink ref="H2" r:id="rId1" display="songfeatures/features/loudness.py"/>
    <hyperlink ref="H3" r:id="rId2" display="songfeatures/features/loudness.py"/>
    <hyperlink ref="H4" r:id="rId3" display="songfeatures/features/loudness.py"/>
    <hyperlink ref="H5" r:id="rId4" display="songfeatures/features/loudness.py"/>
    <hyperlink ref="H6" r:id="rId5" display="songfeatures/features/loudness.py"/>
    <hyperlink ref="H7" r:id="rId6" display="songfeatures/features/timbre.py"/>
    <hyperlink ref="H8" r:id="rId7" display="songfeatures/features/timbre.py"/>
    <hyperlink ref="H9" r:id="rId8" display="songfeatures/features/timbre.py"/>
    <hyperlink ref="H10" r:id="rId9" display="songfeatures/features/timbre.py"/>
    <hyperlink ref="H11" r:id="rId10" display="songfeatures/features/rhythm.py"/>
    <hyperlink ref="H12" r:id="rId11" display="songfeatures/features/rhythm.py"/>
    <hyperlink ref="H13" r:id="rId12" display="songfeatures/features/rhythm.py"/>
    <hyperlink ref="H14" r:id="rId13" display="songfeatures/features/rhythm.py"/>
    <hyperlink ref="H15" r:id="rId14" display="songfeatures/features/rhythm.py"/>
    <hyperlink ref="H16" r:id="rId15" display="songfeatures/features/rhythm.py"/>
    <hyperlink ref="H17" r:id="rId16" display="songfeatures/features/harmony.py"/>
    <hyperlink ref="H18" r:id="rId17" display="songfeatures/features/harmony.py"/>
    <hyperlink ref="H19" r:id="rId18" display="songfeatures/features/harmony.py"/>
    <hyperlink ref="H20" r:id="rId19" display="songfeatures/features/harmony.py"/>
    <hyperlink ref="H21" r:id="rId20" display="songfeatures/features/harmony.py"/>
    <hyperlink ref="H22" r:id="rId21" display="songfeatures/features/structure.py"/>
    <hyperlink ref="H23" r:id="rId22" display="songfeatures/features/structure.py"/>
    <hyperlink ref="H24" r:id="rId23" display="songfeatures/features/structure.py"/>
    <hyperlink ref="H25" r:id="rId24" display="songfeatures/features/structure.py"/>
    <hyperlink ref="H26" r:id="rId25" display="songfeatures/features/structure.py"/>
    <hyperlink ref="H27" r:id="rId26" display="songfeatures/features/vocals.py"/>
    <hyperlink ref="H28" r:id="rId27" display="songfeatures/features/vocals.py"/>
    <hyperlink ref="H29" r:id="rId28" display="songfeatures/features/vocals.py"/>
    <hyperlink ref="H30" r:id="rId29" display="songfeatures/features/vocals.py"/>
    <hyperlink ref="H31" r:id="rId30" display="songfeatures/features/vocals.py"/>
    <hyperlink ref="H32" r:id="rId31" display="songfeatures/features/vocals.py"/>
    <hyperlink ref="H33" r:id="rId32" display="songfeatures/features/vocals.py"/>
    <hyperlink ref="H34" r:id="rId33" display="songfeatures/features/voice_quality.py"/>
    <hyperlink ref="H35" r:id="rId34" display="songfeatures/features/voice_quality.py"/>
    <hyperlink ref="H36" r:id="rId35" display="songfeatures/features/voice_quality.py"/>
    <hyperlink ref="H37" r:id="rId36" display="songfeatures/features/voice_quality.py"/>
    <hyperlink ref="H38" r:id="rId37" display="songfeatures/features/voice_quality.py"/>
    <hyperlink ref="H39" r:id="rId38" display="songfeatures/features/voice_quality.py"/>
    <hyperlink ref="H40" r:id="rId39" display="songfeatures/features/voice_quality.py"/>
    <hyperlink ref="H41" r:id="rId40" display="songfeatures/features/lyrics.py"/>
    <hyperlink ref="H42" r:id="rId41" display="songfeatures/features/lyrics.py"/>
    <hyperlink ref="H43" r:id="rId42" display="songfeatures/features/lyrics.py"/>
    <hyperlink ref="H44" r:id="rId43" display="songfeatures/features/lyrics.py"/>
    <hyperlink ref="H45" r:id="rId44" display="songfeatures/features/lyrics.py"/>
    <hyperlink ref="H46" r:id="rId45" display="songfeatures/features/lyrics.py"/>
    <hyperlink ref="H47" r:id="rId46" display="songfeatures/features/essentia_models.py"/>
    <hyperlink ref="H48" r:id="rId47" display="songfeatures/features/essentia_models.py"/>
    <hyperlink ref="H49" r:id="rId48" display="songfeatures/features/essentia_models.py"/>
    <hyperlink ref="H50" r:id="rId49" display="songfeatures/features/essentia_models.py"/>
    <hyperlink ref="H51" r:id="rId50" display="songfeatures/features/essentia_models.py"/>
    <hyperlink ref="H52" r:id="rId51" display="songfeatures/features/essentia_models.py"/>
    <hyperlink ref="H53" r:id="rId52" display="songfeatures/features/essentia_models.py"/>
    <hyperlink ref="H54" r:id="rId53" display="songfeatures/features/essentia_models.py"/>
    <hyperlink ref="H55" r:id="rId54" display="songfeatures/features/clap.py"/>
    <hyperlink ref="H56" r:id="rId55" display="songfeatures/features/clap.py"/>
    <hyperlink ref="H57" r:id="rId56" display="songfeatures/corpus/surprise.py"/>
    <hyperlink ref="H58" r:id="rId57" display="songfeatures/corpus/surprise.py"/>
    <hyperlink ref="H59" r:id="rId58" display="songfeatures/corpus/novelty.py"/>
    <hyperlink ref="H60" r:id="rId59" display="songfeatures/corpus/novelty.py"/>
    <hyperlink ref="H61" r:id="rId60" display="songfeatures/corpus/novelty.py"/>
    <hyperlink ref="H62" r:id="rId61" display="songfeatures/derived.py"/>
    <hyperlink ref="H63" r:id="rId62" display="songfeatures/derived.py"/>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6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2"/>
    <col collapsed="false" customWidth="true" hidden="false" outlineLevel="0" max="4" min="4" style="0" width="70"/>
    <col collapsed="false" customWidth="true" hidden="false" outlineLevel="0" max="5" min="5" style="0" width="34"/>
  </cols>
  <sheetData>
    <row r="1" customFormat="false" ht="30" hidden="false" customHeight="true" outlineLevel="0" collapsed="false">
      <c r="A1" s="1" t="s">
        <v>0</v>
      </c>
      <c r="B1" s="1" t="s">
        <v>239</v>
      </c>
      <c r="C1" s="1" t="s">
        <v>2</v>
      </c>
      <c r="D1" s="1" t="s">
        <v>240</v>
      </c>
      <c r="E1" s="1" t="s">
        <v>7</v>
      </c>
    </row>
    <row r="2" customFormat="false" ht="15" hidden="false" customHeight="false" outlineLevel="0" collapsed="false">
      <c r="A2" s="8" t="s">
        <v>8</v>
      </c>
      <c r="B2" s="9" t="n">
        <f aca="false">COUNTIF('Feature groups'!$A$2:$A$63,A2)</f>
        <v>5</v>
      </c>
      <c r="C2" s="9" t="n">
        <f aca="false">SUMIF('Feature groups'!$A$2:$A$63,A2,'Feature groups'!$C$2:$C$63)</f>
        <v>15</v>
      </c>
      <c r="D2" s="8" t="s">
        <v>241</v>
      </c>
      <c r="E2" s="10" t="s">
        <v>14</v>
      </c>
    </row>
    <row r="3" customFormat="false" ht="15" hidden="false" customHeight="false" outlineLevel="0" collapsed="false">
      <c r="A3" s="8" t="s">
        <v>30</v>
      </c>
      <c r="B3" s="9" t="n">
        <f aca="false">COUNTIF('Feature groups'!$A$2:$A$63,A3)</f>
        <v>4</v>
      </c>
      <c r="C3" s="9" t="n">
        <f aca="false">SUMIF('Feature groups'!$A$2:$A$63,A3,'Feature groups'!$C$2:$C$63)</f>
        <v>43</v>
      </c>
      <c r="D3" s="8" t="s">
        <v>242</v>
      </c>
      <c r="E3" s="10" t="s">
        <v>34</v>
      </c>
    </row>
    <row r="4" customFormat="false" ht="15" hidden="false" customHeight="false" outlineLevel="0" collapsed="false">
      <c r="A4" s="8" t="s">
        <v>45</v>
      </c>
      <c r="B4" s="9" t="n">
        <f aca="false">COUNTIF('Feature groups'!$A$2:$A$63,A4)</f>
        <v>6</v>
      </c>
      <c r="C4" s="9" t="n">
        <f aca="false">SUMIF('Feature groups'!$A$2:$A$63,A4,'Feature groups'!$C$2:$C$63)</f>
        <v>18</v>
      </c>
      <c r="D4" s="8" t="s">
        <v>243</v>
      </c>
      <c r="E4" s="10" t="s">
        <v>50</v>
      </c>
    </row>
    <row r="5" customFormat="false" ht="15" hidden="false" customHeight="false" outlineLevel="0" collapsed="false">
      <c r="A5" s="8" t="s">
        <v>68</v>
      </c>
      <c r="B5" s="9" t="n">
        <f aca="false">COUNTIF('Feature groups'!$A$2:$A$63,A5)</f>
        <v>5</v>
      </c>
      <c r="C5" s="9" t="n">
        <f aca="false">SUMIF('Feature groups'!$A$2:$A$63,A5,'Feature groups'!$C$2:$C$63)</f>
        <v>24</v>
      </c>
      <c r="D5" s="8" t="s">
        <v>244</v>
      </c>
      <c r="E5" s="10" t="s">
        <v>73</v>
      </c>
    </row>
    <row r="6" customFormat="false" ht="15" hidden="false" customHeight="false" outlineLevel="0" collapsed="false">
      <c r="A6" s="8" t="s">
        <v>85</v>
      </c>
      <c r="B6" s="9" t="n">
        <f aca="false">COUNTIF('Feature groups'!$A$2:$A$63,A6)</f>
        <v>5</v>
      </c>
      <c r="C6" s="9" t="n">
        <f aca="false">SUMIF('Feature groups'!$A$2:$A$63,A6,'Feature groups'!$C$2:$C$63)</f>
        <v>27</v>
      </c>
      <c r="D6" s="8" t="s">
        <v>245</v>
      </c>
      <c r="E6" s="10" t="s">
        <v>90</v>
      </c>
    </row>
    <row r="7" customFormat="false" ht="15" hidden="false" customHeight="false" outlineLevel="0" collapsed="false">
      <c r="A7" s="8" t="s">
        <v>104</v>
      </c>
      <c r="B7" s="9" t="n">
        <f aca="false">COUNTIF('Feature groups'!$A$2:$A$63,A7)</f>
        <v>7</v>
      </c>
      <c r="C7" s="9" t="n">
        <f aca="false">SUMIF('Feature groups'!$A$2:$A$63,A7,'Feature groups'!$C$2:$C$63)</f>
        <v>30</v>
      </c>
      <c r="D7" s="8" t="s">
        <v>246</v>
      </c>
      <c r="E7" s="10" t="s">
        <v>108</v>
      </c>
    </row>
    <row r="8" customFormat="false" ht="23.85" hidden="false" customHeight="false" outlineLevel="0" collapsed="false">
      <c r="A8" s="8" t="s">
        <v>128</v>
      </c>
      <c r="B8" s="9" t="n">
        <f aca="false">COUNTIF('Feature groups'!$A$2:$A$63,A8)</f>
        <v>7</v>
      </c>
      <c r="C8" s="9" t="n">
        <f aca="false">SUMIF('Feature groups'!$A$2:$A$63,A8,'Feature groups'!$C$2:$C$63)</f>
        <v>89</v>
      </c>
      <c r="D8" s="8" t="s">
        <v>247</v>
      </c>
      <c r="E8" s="10" t="s">
        <v>132</v>
      </c>
    </row>
    <row r="9" customFormat="false" ht="23.85" hidden="false" customHeight="false" outlineLevel="0" collapsed="false">
      <c r="A9" s="8" t="s">
        <v>151</v>
      </c>
      <c r="B9" s="9" t="n">
        <f aca="false">COUNTIF('Feature groups'!$A$2:$A$63,A9)</f>
        <v>6</v>
      </c>
      <c r="C9" s="9" t="n">
        <f aca="false">SUMIF('Feature groups'!$A$2:$A$63,A9,'Feature groups'!$C$2:$C$63)</f>
        <v>17</v>
      </c>
      <c r="D9" s="8" t="s">
        <v>248</v>
      </c>
      <c r="E9" s="10" t="s">
        <v>155</v>
      </c>
    </row>
    <row r="10" customFormat="false" ht="23.85" hidden="false" customHeight="false" outlineLevel="0" collapsed="false">
      <c r="A10" s="8" t="s">
        <v>171</v>
      </c>
      <c r="B10" s="9" t="n">
        <f aca="false">COUNTIF('Feature groups'!$A$2:$A$63,A10)</f>
        <v>8</v>
      </c>
      <c r="C10" s="9" t="n">
        <f aca="false">SUMIF('Feature groups'!$A$2:$A$63,A10,'Feature groups'!$C$2:$C$63)</f>
        <v>156</v>
      </c>
      <c r="D10" s="8" t="s">
        <v>249</v>
      </c>
      <c r="E10" s="10" t="s">
        <v>176</v>
      </c>
    </row>
    <row r="11" customFormat="false" ht="15" hidden="false" customHeight="false" outlineLevel="0" collapsed="false">
      <c r="A11" s="8" t="s">
        <v>200</v>
      </c>
      <c r="B11" s="9" t="n">
        <f aca="false">COUNTIF('Feature groups'!$A$2:$A$63,A11)</f>
        <v>2</v>
      </c>
      <c r="C11" s="9" t="n">
        <f aca="false">SUMIF('Feature groups'!$A$2:$A$63,A11,'Feature groups'!$C$2:$C$63)</f>
        <v>32</v>
      </c>
      <c r="D11" s="8" t="s">
        <v>250</v>
      </c>
      <c r="E11" s="10" t="s">
        <v>205</v>
      </c>
    </row>
    <row r="12" customFormat="false" ht="15" hidden="false" customHeight="false" outlineLevel="0" collapsed="false">
      <c r="A12" s="8" t="s">
        <v>209</v>
      </c>
      <c r="B12" s="9" t="n">
        <f aca="false">COUNTIF('Feature groups'!$A$2:$A$63,A12)</f>
        <v>2</v>
      </c>
      <c r="C12" s="9" t="n">
        <f aca="false">SUMIF('Feature groups'!$A$2:$A$63,A12,'Feature groups'!$C$2:$C$63)</f>
        <v>10</v>
      </c>
      <c r="D12" s="8" t="s">
        <v>251</v>
      </c>
      <c r="E12" s="10" t="s">
        <v>213</v>
      </c>
    </row>
    <row r="13" customFormat="false" ht="15" hidden="false" customHeight="false" outlineLevel="0" collapsed="false">
      <c r="A13" s="8" t="s">
        <v>217</v>
      </c>
      <c r="B13" s="9" t="n">
        <f aca="false">COUNTIF('Feature groups'!$A$2:$A$63,A13)</f>
        <v>3</v>
      </c>
      <c r="C13" s="9" t="n">
        <f aca="false">SUMIF('Feature groups'!$A$2:$A$63,A13,'Feature groups'!$C$2:$C$63)</f>
        <v>21</v>
      </c>
      <c r="D13" s="8" t="s">
        <v>252</v>
      </c>
      <c r="E13" s="10" t="s">
        <v>221</v>
      </c>
    </row>
    <row r="14" customFormat="false" ht="23.85" hidden="false" customHeight="false" outlineLevel="0" collapsed="false">
      <c r="A14" s="8" t="s">
        <v>228</v>
      </c>
      <c r="B14" s="9" t="n">
        <f aca="false">COUNTIF('Feature groups'!$A$2:$A$63,A14)</f>
        <v>2</v>
      </c>
      <c r="C14" s="9" t="n">
        <f aca="false">SUMIF('Feature groups'!$A$2:$A$63,A14,'Feature groups'!$C$2:$C$63)</f>
        <v>16</v>
      </c>
      <c r="D14" s="8" t="s">
        <v>253</v>
      </c>
      <c r="E14" s="10" t="s">
        <v>233</v>
      </c>
    </row>
    <row r="15" customFormat="false" ht="15" hidden="false" customHeight="false" outlineLevel="0" collapsed="false">
      <c r="A15" s="11" t="s">
        <v>237</v>
      </c>
      <c r="B15" s="12" t="n">
        <f aca="false">SUM(B2:B14)</f>
        <v>62</v>
      </c>
      <c r="C15" s="12" t="n">
        <f aca="false">SUM(C2:C14)</f>
        <v>498</v>
      </c>
    </row>
  </sheetData>
  <hyperlinks>
    <hyperlink ref="E2" r:id="rId1" display="songfeatures/features/loudness.py"/>
    <hyperlink ref="E3" r:id="rId2" display="songfeatures/features/timbre.py"/>
    <hyperlink ref="E4" r:id="rId3" display="songfeatures/features/rhythm.py"/>
    <hyperlink ref="E5" r:id="rId4" display="songfeatures/features/harmony.py"/>
    <hyperlink ref="E6" r:id="rId5" display="songfeatures/features/structure.py"/>
    <hyperlink ref="E7" r:id="rId6" display="songfeatures/features/vocals.py"/>
    <hyperlink ref="E8" r:id="rId7" display="songfeatures/features/voice_quality.py"/>
    <hyperlink ref="E9" r:id="rId8" display="songfeatures/features/lyrics.py"/>
    <hyperlink ref="E10" r:id="rId9" display="songfeatures/features/essentia_models.py"/>
    <hyperlink ref="E11" r:id="rId10" display="songfeatures/features/clap.py"/>
    <hyperlink ref="E12" r:id="rId11" display="songfeatures/corpus/surprise.py"/>
    <hyperlink ref="E13" r:id="rId12" display="songfeatures/corpus/novelty.py"/>
    <hyperlink ref="E14" r:id="rId13" display="songfeatures/derived.py"/>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100"/>
  </cols>
  <sheetData>
    <row r="1" customFormat="false" ht="30" hidden="false" customHeight="true" outlineLevel="0" collapsed="false">
      <c r="A1" s="1" t="s">
        <v>254</v>
      </c>
      <c r="B1" s="1" t="s">
        <v>255</v>
      </c>
      <c r="C1" s="1" t="s">
        <v>256</v>
      </c>
    </row>
    <row r="2" customFormat="false" ht="15" hidden="false" customHeight="false" outlineLevel="0" collapsed="false">
      <c r="A2" s="8" t="s">
        <v>257</v>
      </c>
      <c r="B2" s="8" t="s">
        <v>258</v>
      </c>
      <c r="C2" s="8" t="s">
        <v>259</v>
      </c>
    </row>
    <row r="3" customFormat="false" ht="15" hidden="false" customHeight="false" outlineLevel="0" collapsed="false">
      <c r="A3" s="8" t="s">
        <v>260</v>
      </c>
      <c r="B3" s="8" t="s">
        <v>261</v>
      </c>
      <c r="C3" s="8" t="s">
        <v>262</v>
      </c>
    </row>
    <row r="4" customFormat="false" ht="15" hidden="false" customHeight="false" outlineLevel="0" collapsed="false">
      <c r="A4" s="8" t="s">
        <v>263</v>
      </c>
      <c r="B4" s="8" t="s">
        <v>264</v>
      </c>
      <c r="C4" s="8" t="s">
        <v>265</v>
      </c>
    </row>
    <row r="5" customFormat="false" ht="15" hidden="false" customHeight="false" outlineLevel="0" collapsed="false">
      <c r="A5" s="8" t="s">
        <v>266</v>
      </c>
      <c r="B5" s="8" t="s">
        <v>267</v>
      </c>
      <c r="C5" s="8" t="s">
        <v>268</v>
      </c>
    </row>
    <row r="6" customFormat="false" ht="15" hidden="false" customHeight="false" outlineLevel="0" collapsed="false">
      <c r="A6" s="8" t="s">
        <v>269</v>
      </c>
      <c r="B6" s="8" t="s">
        <v>270</v>
      </c>
      <c r="C6" s="8" t="s">
        <v>271</v>
      </c>
    </row>
    <row r="7" customFormat="false" ht="23.85" hidden="false" customHeight="false" outlineLevel="0" collapsed="false">
      <c r="A7" s="8" t="s">
        <v>272</v>
      </c>
      <c r="B7" s="8" t="s">
        <v>273</v>
      </c>
      <c r="C7" s="8" t="s">
        <v>274</v>
      </c>
    </row>
    <row r="8" customFormat="false" ht="15" hidden="false" customHeight="false" outlineLevel="0" collapsed="false">
      <c r="A8" s="8" t="s">
        <v>275</v>
      </c>
      <c r="B8" s="8" t="s">
        <v>276</v>
      </c>
      <c r="C8" s="8" t="s">
        <v>277</v>
      </c>
    </row>
    <row r="9" customFormat="false" ht="23.85" hidden="false" customHeight="false" outlineLevel="0" collapsed="false">
      <c r="A9" s="8" t="s">
        <v>278</v>
      </c>
      <c r="B9" s="8" t="s">
        <v>279</v>
      </c>
      <c r="C9" s="8" t="s">
        <v>280</v>
      </c>
    </row>
    <row r="10" customFormat="false" ht="15" hidden="false" customHeight="false" outlineLevel="0" collapsed="false">
      <c r="A10" s="8" t="s">
        <v>281</v>
      </c>
      <c r="B10" s="8" t="s">
        <v>282</v>
      </c>
      <c r="C10" s="8" t="s">
        <v>283</v>
      </c>
    </row>
    <row r="11" customFormat="false" ht="15" hidden="false" customHeight="false" outlineLevel="0" collapsed="false">
      <c r="A11" s="8" t="s">
        <v>284</v>
      </c>
      <c r="B11" s="8" t="s">
        <v>285</v>
      </c>
      <c r="C11" s="8" t="s">
        <v>286</v>
      </c>
    </row>
    <row r="12" customFormat="false" ht="15" hidden="false" customHeight="false" outlineLevel="0" collapsed="false">
      <c r="A12" s="8" t="s">
        <v>287</v>
      </c>
      <c r="B12" s="8" t="s">
        <v>288</v>
      </c>
      <c r="C12" s="8" t="s">
        <v>289</v>
      </c>
    </row>
    <row r="13" customFormat="false" ht="15" hidden="false" customHeight="false" outlineLevel="0" collapsed="false">
      <c r="A13" s="8" t="s">
        <v>290</v>
      </c>
      <c r="B13" s="8" t="s">
        <v>291</v>
      </c>
      <c r="C13" s="8" t="s">
        <v>292</v>
      </c>
    </row>
    <row r="14" customFormat="false" ht="15" hidden="false" customHeight="false" outlineLevel="0" collapsed="false">
      <c r="A14" s="8" t="s">
        <v>293</v>
      </c>
      <c r="B14" s="8" t="s">
        <v>294</v>
      </c>
      <c r="C14" s="8" t="s">
        <v>295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23.85" hidden="false" customHeight="false" outlineLevel="0" collapsed="false">
      <c r="A1" s="14" t="s">
        <v>296</v>
      </c>
      <c r="B1" s="15" t="s">
        <v>297</v>
      </c>
    </row>
    <row r="2" customFormat="false" ht="23.85" hidden="false" customHeight="false" outlineLevel="0" collapsed="false">
      <c r="A2" s="14" t="s">
        <v>4</v>
      </c>
      <c r="B2" s="15" t="s">
        <v>298</v>
      </c>
    </row>
    <row r="3" customFormat="false" ht="23.85" hidden="false" customHeight="false" outlineLevel="0" collapsed="false">
      <c r="A3" s="14" t="s">
        <v>299</v>
      </c>
      <c r="B3" s="15" t="s">
        <v>300</v>
      </c>
    </row>
    <row r="4" customFormat="false" ht="23.85" hidden="false" customHeight="false" outlineLevel="0" collapsed="false">
      <c r="A4" s="14" t="s">
        <v>301</v>
      </c>
      <c r="B4" s="15" t="s">
        <v>302</v>
      </c>
    </row>
    <row r="5" customFormat="false" ht="23.85" hidden="false" customHeight="false" outlineLevel="0" collapsed="false">
      <c r="A5" s="14" t="s">
        <v>303</v>
      </c>
      <c r="B5" s="15" t="s">
        <v>304</v>
      </c>
    </row>
    <row r="6" customFormat="false" ht="15" hidden="false" customHeight="false" outlineLevel="0" collapsed="false">
      <c r="A6" s="14" t="s">
        <v>305</v>
      </c>
      <c r="B6" s="15" t="s">
        <v>306</v>
      </c>
    </row>
    <row r="7" customFormat="false" ht="15" hidden="false" customHeight="false" outlineLevel="0" collapsed="false">
      <c r="A7" s="14" t="s">
        <v>307</v>
      </c>
      <c r="B7" s="16" t="s">
        <v>308</v>
      </c>
    </row>
  </sheetData>
  <hyperlinks>
    <hyperlink ref="B7" r:id="rId1" display="Spotify for Developers blog, 'Introducing some changes to our Web API' (27 Nov 2024): https://developer.spotify.com/blog/2024-11-27-changes-to-the-web-api"/>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2026-10-25T08:52:38Z</dcterms:created>
  <dc:creator>openpyxl</dc:creator>
  <dc:description/>
  <dc:language>en-US</dc:language>
  <cp:lastModifiedBy/>
  <dcterms:modified xsi:type="dcterms:W3CDTF">2026-10-25T08:52:38Z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